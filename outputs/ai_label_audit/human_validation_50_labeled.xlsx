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87912edaf3442e" /></Relationships>
</file>

<file path=xl/workbook.xml><?xml version="1.0" encoding="utf-8"?>
<x:workbook xmlns:x="http://schemas.openxmlformats.org/spreadsheetml/2006/main">
  <x:sheets>
    <x:sheet xmlns:r="http://schemas.openxmlformats.org/officeDocument/2006/relationships" name="Validation" sheetId="1" r:id="R9ec9e783ebbc4dd3"/>
    <x:sheet xmlns:r="http://schemas.openxmlformats.org/officeDocument/2006/relationships" name="Protocol" sheetId="2" r:id="R205924dd2b1a46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ptos"/>
    </x:font>
    <x:font>
      <x:b/>
      <x:sz val="11"/>
      <x:color rgb="FFFFFFFF"/>
      <x:name val="Aptos Display"/>
    </x:font>
    <x:font>
      <x:b/>
      <x:sz val="18"/>
      <x:color rgb="FFFFFFFF"/>
      <x:name val="Aptos Display"/>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16">
    <x:border/>
    <x:border/>
    <x:border>
      <x:bottom style="medium">
        <x:color rgb="FF10253F"/>
      </x:bottom>
    </x:border>
    <x:border>
      <x:bottom style="medium">
        <x:color rgb="FF10253F"/>
      </x:bottom>
    </x:border>
    <x:border>
      <x:right style="thin">
        <x:color rgb="FFD8DEE9"/>
      </x:right>
      <x:bottom style="thin">
        <x:color rgb="FFD8DEE9"/>
      </x:bottom>
    </x:border>
    <x:border>
      <x:left style="thin">
        <x:color rgb="FFD8DEE9"/>
      </x:left>
      <x:bottom style="thin">
        <x:color rgb="FFD8DEE9"/>
      </x:bottom>
    </x:border>
    <x:border>
      <x:right style="thin">
        <x:color rgb="FFD8DEE9"/>
      </x:right>
      <x:top style="thin">
        <x:color rgb="FFD8DEE9"/>
      </x:top>
      <x:bottom style="thin">
        <x:color rgb="FFD8DEE9"/>
      </x:bottom>
    </x:border>
    <x:border>
      <x:left style="thin">
        <x:color rgb="FFD8DEE9"/>
      </x:left>
      <x:top style="thin">
        <x:color rgb="FFD8DEE9"/>
      </x:top>
      <x:bottom style="thin">
        <x:color rgb="FFD8DEE9"/>
      </x:bottom>
    </x:border>
    <x:border>
      <x:right style="thin">
        <x:color rgb="FFD8DEE9"/>
      </x:right>
      <x:top style="thin">
        <x:color rgb="FFD8DEE9"/>
      </x:top>
    </x:border>
    <x:border>
      <x:left style="thin">
        <x:color rgb="FFD8DEE9"/>
      </x:left>
      <x:top style="thin">
        <x:color rgb="FFD8DEE9"/>
      </x:top>
    </x:border>
    <x:border>
      <x:right style="thin">
        <x:color rgb="FFD8DEE9"/>
      </x:right>
      <x:bottom style="thin">
        <x:color rgb="FFD8DEE9"/>
      </x:bottom>
    </x:border>
    <x:border>
      <x:left style="thin">
        <x:color rgb="FFD8DEE9"/>
      </x:left>
      <x:bottom style="thin">
        <x:color rgb="FFD8DEE9"/>
      </x:bottom>
    </x:border>
    <x:border>
      <x:right style="thin">
        <x:color rgb="FFD8DEE9"/>
      </x:right>
      <x:top style="thin">
        <x:color rgb="FFD8DEE9"/>
      </x:top>
      <x:bottom style="thin">
        <x:color rgb="FFD8DEE9"/>
      </x:bottom>
    </x:border>
    <x:border>
      <x:left style="thin">
        <x:color rgb="FFD8DEE9"/>
      </x:left>
      <x:top style="thin">
        <x:color rgb="FFD8DEE9"/>
      </x:top>
      <x:bottom style="thin">
        <x:color rgb="FFD8DEE9"/>
      </x:bottom>
    </x:border>
    <x:border>
      <x:right style="thin">
        <x:color rgb="FFD8DEE9"/>
      </x:right>
      <x:top style="thin">
        <x:color rgb="FFD8DEE9"/>
      </x:top>
    </x:border>
    <x:border>
      <x:left style="thin">
        <x:color rgb="FFD8DEE9"/>
      </x:left>
      <x:top style="thin">
        <x:color rgb="FFD8DEE9"/>
      </x:top>
    </x:border>
  </x:borders>
  <x:cellStyleXfs count="1">
    <x:xf numFmtId="0" fontId="0" fillId="0" borderId="0"/>
  </x:cellStyleXfs>
  <x:cellXfs count="5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3" borderId="10" xfId="0" applyNumberFormat="1" applyFont="1" applyFill="1" applyBorder="1"/>
    <x:xf numFmtId="0" fontId="4" fillId="3"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4" fillId="0" borderId="6" xfId="0" applyNumberFormat="1" applyFont="1" applyFill="1" applyBorder="1"/>
    <x:xf numFmtId="0" fontId="4" fillId="0" borderId="8" xfId="0" applyNumberFormat="1" applyFont="1" applyFill="1" applyBorder="1"/>
    <x:xf numFmtId="0" fontId="4" fillId="0" borderId="0" xfId="0" applyNumberFormat="1" applyFont="1" applyFill="1" applyBorder="1"/>
    <x:xf numFmtId="0" fontId="4" fillId="0" borderId="12" xfId="0" applyNumberFormat="1" applyFont="1" applyFill="1" applyBorder="1"/>
    <x:xf numFmtId="0" fontId="4" fillId="0" borderId="14" xfId="0" applyNumberFormat="1" applyFont="1" applyFill="1" applyBorder="1"/>
    <x:xf numFmtId="0" fontId="4" fillId="0" borderId="1" xfId="0" applyNumberFormat="1" applyFont="1" applyFill="1" applyBorder="1"/>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3">
    <x:dxf>
      <x:font>
        <x:b/>
        <x:color rgb="FF166534"/>
      </x:font>
      <x:fill>
        <x:patternFill patternType="solid">
          <x:bgColor rgb="FFDCFCE7"/>
        </x:patternFill>
      </x:fill>
    </x:dxf>
    <x:dxf>
      <x:font>
        <x:b/>
        <x:color rgb="FF991B1B"/>
      </x:font>
      <x:fill>
        <x:patternFill patternType="solid">
          <x:bgColor rgb="FFFEE2E2"/>
        </x:patternFill>
      </x:fill>
    </x:dxf>
    <x:dxf>
      <x:font>
        <x:color rgb="FF9F1239"/>
      </x:font>
      <x:fill>
        <x:patternFill patternType="solid">
          <x:bgColor rgb="FFFFF1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4f2f8bdf884d30" /><Relationship Type="http://schemas.openxmlformats.org/officeDocument/2006/relationships/theme" Target="/xl/theme/theme1.xml" Id="R526870df91a74aa8" /><Relationship Type="http://schemas.openxmlformats.org/officeDocument/2006/relationships/sharedStrings" Target="/xl/sharedStrings.xml" Id="R461ff24e91ec4d27" /><Relationship Type="http://schemas.openxmlformats.org/officeDocument/2006/relationships/worksheet" Target="/xl/worksheets/sheet1.xml" Id="R9ec9e783ebbc4dd3" /><Relationship Type="http://schemas.openxmlformats.org/officeDocument/2006/relationships/worksheet" Target="/xl/worksheets/sheet2.xml" Id="R205924dd2b1a46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2" hidden="0" customWidth="1"/>
    <x:col min="4" max="4" width="78" hidden="0" customWidth="1"/>
    <x:col min="5" max="5" width="36" hidden="0" customWidth="1"/>
    <x:col min="6" max="6" width="18" hidden="0" customWidth="1"/>
    <x:col min="7" max="7" width="20" hidden="0" customWidth="1"/>
    <x:col min="8" max="8" width="62" hidden="0" customWidth="1"/>
  </x:cols>
  <x:sheetData>
    <x:row r="1" ht="30" customHeight="1">
      <x:c r="A1" s="14" t="str">
        <x:v>sample_id</x:v>
      </x:c>
      <x:c r="B1" s="14" t="str">
        <x:v>query</x:v>
      </x:c>
      <x:c r="C1" s="14" t="str">
        <x:v>claim</x:v>
      </x:c>
      <x:c r="D1" s="14" t="str">
        <x:v>evidence</x:v>
      </x:c>
      <x:c r="E1" s="14" t="str">
        <x:v>image_paths</x:v>
      </x:c>
      <x:c r="F1" s="14" t="str">
        <x:v>human_supported</x:v>
      </x:c>
      <x:c r="G1" s="14" t="str">
        <x:v>human_modality</x:v>
      </x:c>
      <x:c r="H1" s="14" t="str">
        <x:v>notes</x:v>
      </x:c>
    </x:row>
    <x:row r="2" ht="72" customHeight="1">
      <x:c r="A2" s="16" t="str">
        <x:v>5480f7d949e3da40</x:v>
      </x:c>
      <x:c r="B2" s="16" t="str">
        <x:v>What did United Airlines find during inspections of the Boeing 737 Max 9?</x:v>
      </x:c>
      <x:c r="C2" s="16" t="str">
        <x:v>Some airlines grounded their 737 Max 9 aircraft.</x:v>
      </x:c>
      <x:c r="D2"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[3]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[4]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[5] Boeing seeks Ryanair support with checks after mid-air blowout - BBC News
On Monday, Boeing announced that an outside party would also be brought in to assess its production practices. It will also check the work of the firm that supplies and installs the parts involved in the accident. Last week, the US regulator extended the grounding of 737 Max's with similar fuselage panels, while United and Alaska Airlines have said they were extending the cancellations of any flights involving the 737 Max 9 through until Wednesday. The Federal Aviation Administration (FAA) also said it would conduct an audit of the plane's production line, adding it believed there were "significant problems" with the 737 Max 9 jet as well as "other manufacturing problems".
Boeing has asked Ryanair to send extra engineers to oversee quality checks of its planes "on the ground" following the Alaska Airlines incident. Ryanair's boss told the BBC that quality was improving but the incident had shown there was "more to be done". It comes after an unused door fell off a Boeing 737 Max 9 operated by US-based Alaska Airlines. Ryanair does not use Boeing's 737 Max 9 aircraft but operates the Max 8 variant and has Max 10s on order.</x:v>
      </x:c>
      <x:c r="E2" s="16" t="str"/>
      <x:c r="F2" s="18" t="str">
        <x:v>y</x:v>
      </x:c>
      <x:c r="G2" s="18" t="str">
        <x:v>text_only</x:v>
      </x:c>
      <x:c r="H2" s="16" t="str">
        <x:v>Evidence states Turkish Airlines grounded five Max 9s and the FAA ordered grounding of certain aircraft.</x:v>
      </x:c>
    </x:row>
    <x:row r="3" ht="72" customHeight="1">
      <x:c r="A3" s="16" t="str">
        <x:v>860e6630ea0b0f37</x:v>
      </x:c>
      <x:c r="B3" s="16" t="str">
        <x:v>What efforts are being made for aid in Gaza?</x:v>
      </x:c>
      <x:c r="C3" s="16" t="str">
        <x:v>Qatar and France brokered a deal to increase humanitarian aid.</x:v>
      </x:c>
      <x:c r="D3" s="16" t="str">
        <x:v>[1]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[3]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[4] Mediators push for Gaza ceasefire deal but gaps remain between Israel and Hamas - BBC News
The UN says the humanitarian situation in Gaza is "appalling", with 2.2 million Palestinians living in "inhumane, squalid conditions" With more than 25,000 people now killed in Gaza, according to local health officials, and a catastrophic humanitarian situation, international calls for a ceasefire have become much harder for Israel to ignore. Meanwhile, noisy protests and rallies by the families of Israeli hostages ensure their demand to bring home their loved ones has become a priority of domestic politics. They have overwhelming public sympathy.
However, one thing that Israel and its Western allies are unlikely to compromise on is that Hamas leaders must be removed from power in Gaza, to ensure that there can be no repeat of the attacks three months ago, which killed about 1,200 people. Interestingly, there have been unconfirmed media reports this week that as part of a ceasefire and hostage release proposal, Israel had made an offer to allow top Hamas leaders in Gaza to relocate to other countries. Hamas claimed it had rejected such a proposal. The UN says the humanitarian situation in Gaza is "appalling", with 2.2 million Palestinians living in "inhumane, squalid conditions"
[5] UNRWA claims: UK halts aid to UN agency over allegation staff helped Hamas attack - BBC News
Another 250 people were taken hostage. The events triggered Israel's retaliatory attacks on Hamas in Gaza, which have killed more than 26,000 Palestinians, according to the territory's Hamas-run health ministry. The US, Germany and the EU are among some of UNRWA's biggest donors. The agency says it is struggling to get humanitarian aid to many of the estimated 1.7 million people - nearly three-quarters of the population - displaced by 12 weeks of fighting.
The agency says it is struggling to get humanitarian aid to many of the estimated 1.7 million people - nearly three-quarters of the population - displaced by 12 weeks of fighting. A number of UN facilities where Gazans had taken shelter have been hit in Israeli air strikes. On Wednesday, 12 people were killed when a UN shelter was struck in Khan Younis in southern Gaza. Correction 13th February: This article wrongly reported that about 1,300 people had been killed following the 7th October attack by Hamas.</x:v>
      </x:c>
      <x:c r="E3" s="16" t="str"/>
      <x:c r="F3" s="18" t="str">
        <x:v>y</x:v>
      </x:c>
      <x:c r="G3" s="18" t="str">
        <x:v>text_only</x:v>
      </x:c>
      <x:c r="H3" s="16" t="str">
        <x:v>Evidence says the deal allowed more humanitarian aid and was brokered by Qatar and France.</x:v>
      </x:c>
    </x:row>
    <x:row r="4" ht="72" customHeight="1">
      <x:c r="A4" s="16" t="str">
        <x:v>f0e67653f6157ef1</x:v>
      </x:c>
      <x:c r="B4" s="16" t="str">
        <x:v>What did the RAC say about the motorway electric car charge point target?</x:v>
      </x:c>
      <x:c r="C4" s="16" t="str">
        <x:v>The RAC has highlighted a significant shortfall in electric vehicle charging points in the UK.</x:v>
      </x:c>
      <x:c r="D4" s="16" t="str">
        <x:v>[1] BT Group to turn old street cabinets into electric vehicle charging points - BBC News
BT hopes up to 60,000 could be converted, which would help tackle a shortfall in electric car chargers. The government's ambition is to increase the number of charging points from more than 50,000 today to 300,000 by 2030 but Zapmap figures show nearly a third of all UK charging points are currently in London. People have complained about the lack of charging ports in some areas and that some do not work or are unreliable. This pilot project by BT will explore how this solution could be scaled up to address the lack of chargers on UK roads, something that motoring groups have said is holding back Britain's electric car revolution.
"Harnessing existing street furniture is a great way to increase the number of public EV charging points without further adding to clutter along our footpaths," he said. "Making this even more valuable, many of these green street cabinets are located in residential areas across the UK, including smaller villages and towns, where charging infrastructure is most severely lacking." The Department for Transport told the BBC that they have committed "hundreds of millions of pounds to expand local charging across England." Their spokesperson said: "The number of public charge points is rising across the country - increasing by 44% since December 2022.
[IMAGE 1: "Up to 60,000 could be converted to tackle a shortfall in electric car charging points, the group says."]
[2] 20mph: Drakeford says confused drivers will not face 20mph fine - BBC News
"Where people deliberately break the law, where people drive well above 20mph in a 20mph zone, then the law will have to be enforced." He added: "I think if the police find somebody driving above 20mph and the reason is they are genuinely confused about that - I don't think in those circumstances of genuine confusion the police will move to enforcement. "If there are examples, genuine examples, where people just have misunderstood that this piece of road that they are on is now a 20mph limit, I think that will be resolved through the way that the police intend to respond. "But it would need to be genuine confusion, rather than just a claim to be confused."
South Wales Police and Crime Commissioner Alun Michael said "common sense will be applied". "It's not as if there's a will to make life difficult for drivers," he said. Mr Michael told BBC Radio Wales Breakfast that people who did not want it needed to recognise it was now law, and use their common sense in the way they drive. "This is now the law, let's make it work," Mr Michael said.
[IMAGE 2: "Enforcement of the Welsh government's flagship 20mph policy begins on Monday."]
[3] China’s BYD overtakes Tesla's electric car sales in last quarter of 2023 - BBC News
Last January, Mr Musk said that Tesla had the potential to achieve two million deliveries in 2023. The firm cut prices repeatedly to try to woo buyers. The milestone achieved by BYD is a reminder of the challenges facing the firm, which helped to launch the electric vehicle industry. "As BYD has accelerated into the fast lane, it's fresh evidence of just how competitive the EV market has become and how hard it will be for Tesla to swerve back to head the pack," said Susannah Streeter, head of money and markets at Hargreaves Lansdown.
Chinese company BYD sold more electric vehicles than Elon Musk's Tesla in the last three months of 2023 as the two battled for top spot in the sector. BYD said on Monday it had sold a record 526,000 battery-only vehicles in the final quarter of 2023. It marked the first quarter its battery-only sales have outpaced Tesla's. The US-based firm has seen demand slow as borrowing costs climb.
[IMAGE 3: "Electric-only deliveries from Chinese company BYD outpaced Elon Musk's Tesla for the first time."]
[4] Llanelli attempted kidnap: Man tried to drag woman into car - report - BBC News
The force added that its investigation had established the car drove along Hendre Road from Tan Y Graig Road. The police are appealing for information and encouraging local people to check CCTV and doorbell or dashcam footage for sightings of the car.
The car the man was driving is being sought by police A man tried to drag a woman into a car in an attempted kidnap, according to reports to police. They launched an investigation into the matter after they were contacted at about 23:45 GMT on Saturday. The force said the man approached the woman in a dark red or burgundy car as she walked from the British Royal Legion pub on Tan Y Graig Road, Llanelli, in Carmarthenshire.
[IMAGE 4: "The force said the the man asked her to get into the vehicle before grabbing her."]
[5] Young drivers face £3,000 cost for car insurance - BBC News
The association said the figures were based on the price customers paid for their cover rather than what they were quoted. Are you struggling with the cost of car insurance? Share your experiences by emailing haveyoursay@bbc.co.uk. Please include a contact number if you are willing to speak to a BBC journalist.
But he said with the price rises for 17-20-year-olds many young drivers would be looking at whether they can afford to drive at all. "The industry has to be careful not to push younger drivers into other modes of transport and that's a real risk when prices get this high," he said. The Association of British Insurers (ABI) said while car insurance could be expensive there were ways to bring costs down. It added that it was important that motorists never drove without cover and urged anyone struggling with costs to speak to their insurers.
[IMAGE 5: "Inflation and repairs have sent quotes soaring for younger motorists, according to data."]</x:v>
      </x:c>
      <x:c r="E4" s="16" t="str">
        <x:v>data/images/1bce062351592575.jpg|data/images/db72c77fd75f39eb.jpg|data/images/c8e5dcf663ea77f2.jpg|data/images/5968332585fc2388.jpg|data/images/b10eb65a88f11e83.jpg</x:v>
      </x:c>
      <x:c r="F4" s="18" t="str">
        <x:v>n</x:v>
      </x:c>
      <x:c r="G4" s="18" t="str">
        <x:v>unsupported</x:v>
      </x:c>
      <x:c r="H4" s="16" t="str">
        <x:v>Evidence describes a charging-point shortfall but contains no RAC statement or attribution.</x:v>
      </x:c>
    </x:row>
    <x:row r="5" ht="72" customHeight="1">
      <x:c r="A5" s="16" t="str">
        <x:v>e2fa1d7170fc1126</x:v>
      </x:c>
      <x:c r="B5" s="16" t="str">
        <x:v>What plans did an Israeli minister outline for Gaza after the war?</x:v>
      </x:c>
      <x:c r="C5" s="16" t="str">
        <x:v>The coverage outlines a plan involving Israel, Egypt, and the United States to secure the border between Egypt and Gaza.</x:v>
      </x:c>
      <x:c r="D5" s="16" t="str">
        <x:v>[1] Israel-Gaza war: The huge challenges facing Israel's 'day after' plan - BBC News
The plan proposes that Israel, Egypt and the US would work to secure the porous border between Egypt and Gaza But writing for the British think tank Chatham House, Dr Sanam Vakil and Dr Neil Quilliam urge Arab governments not to wait. "Without serious regional planning and investment in Gaza," they write, "a potential outcome that could materialize is lawlessness and a Palestinian political vacuum alongside the grim reality of famine, disease and death." And what of that "Palestinian political vacuum"?
It's when the plan touches on what it calls "the four corners of the civilian square" that things get a little blurry. Israel's rigid control over the entry of goods into the Gaza Strip - a fact of life for the past two decades - would continue. Prime Minister Benjamin Netanyahu has not publicly commented on the plan Israel, Egypt and the United States would work together on ways to secure the porous border between Egypt and Gaza - something that would involve solving the problem of tunnels once and for all.
[2] Antony Blinken: On the US mission to stop Gaza igniting wider war - BBC News
"I'll have an opportunity to share with Israeli leaders everything I've heard thus far on this trip," he said on Monday. "I'm convinced that there is a future path that can actually bring lasting peace and security for Israel." Behind all this is an American gamble - that resolving, or at least winding down, the Gaza War will cool tensions throughout the region. It is a bet that the various mini-crises - in the Red Sea, in Lebanon, and in Iraq and Syria - have not taken on a momentum of their own.
When viewed as a whole, it suggests a Middle East teetering on the brink of wider war. In Qatar on Sunday, Mr Blinken said the US has a plan to address the growing instability - and it hinges on winding down the Israeli military campaign in Gaza and working with Arab nations and the Israelis to establish a "durable" peace for the Palestinians. "The United States has a vision for how to get there, a regional approach that delivers lasting security for Israel and a state for the Palestinian people," he said. "And my takeaway from the discussions so far ...
[3] ICJ says Israel must prevent genocide in Gaza - BBC News
A spokesman for Hamas, the Palestinian group whose unprecedented attack on Israel on 7 October triggered the war, called the outcome "important", saying it contributed to "isolating Israel", Reuters news agency reported. The ICJ ordered Israel to take a series of measures against potentially genocidal acts against Palestinians in Gaza. These include measures not only on the battlefield but also against public incitement to genocide. It also ordered Israel to take "immediate and effective measures" to enable the provision of aid to people in Gaza.
Israel is not expected to commit itself to the orders. More than 26,000 Palestinians - mostly women and children - have been killed in Gaza by Israel's bombardment since 7 October, Gaza's Hamas-run health ministry says. Israel launched its offensive after waves of Hamas gunmen burst through the border early that day, killing about 1,200 people - mainly civilians - and taking about 250 others back to Gaza as hostages. Correction 13th February: This article wrongly reported that about 1,300 people had been killed following the 7th October attack by Hamas.
[4] Israel reined in by ICJ rulings on Gaza - but will it obey? - BBC News
By large majorities the court's 17 judges ruled that Israel should do everything in its power to avoid killing Palestinians, causing them serious bodily or mental harm, creating intolerable living conditions in Gaza, or deliberately preventing Palestinian births. It also said Israel should do more to "prevent and punish" public incitement to genocide, citing examples by Israel's president and defence minister. And there was a call for "immediate and effective measures" to address the humanitarian catastrophe in Gaza. Not a call for a ceasefire, then, but a series of demands that, if implemented, would drastically change the nature of Israel's military campaign in Gaza.
Not a call for a ceasefire, then, but a series of demands that, if implemented, would drastically change the nature of Israel's military campaign in Gaza. Israel vehemently rejects the allegation of genocide, arguing that it is Hamas that's responsible for putting Palestinian civilians in harm's way. It says Hamas operates inside and underneath Gaza's densely populated towns and refugee camps, making it virtually impossible for Israel to avoid killing civilians. And it says that it has gone to great lengths to warn civilians to avoid danger.
[5] Tough choices for Israel in US's Middle East vision - BBC News
The US secretary has acknowledged that adopting the American proposal would require some hard choices on the part of the Israelis, but he insisted that the promise of a durable regional peace was worth the effort. "The other path," Blinken said, "is to continue to see the terrorism, the nihilism, the destruction by Hamas, by the Houthis, by Hezbollah, all backed by Iran." A senior US State Department official, speaking on background, was even more blunt - Israel ultimately doesn't have a choice. At some point, the official told me, Prime Minister Benjamin Netanyahu and the Israelis would have to face the reality that if they don't make concessions to their Arab neighbours, they will be left dealing with the chaos and devastation they created in Gaza on their own.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x:v>
      </x:c>
      <x:c r="E5" s="16" t="str"/>
      <x:c r="F5" s="18" t="str">
        <x:v>y</x:v>
      </x:c>
      <x:c r="G5" s="18" t="str">
        <x:v>text_only</x:v>
      </x:c>
      <x:c r="H5" s="16" t="str">
        <x:v>Evidence explicitly says Israel, Egypt, and the US would work together to secure the Egypt–Gaza border.</x:v>
      </x:c>
    </x:row>
    <x:row r="6" ht="72" customHeight="1">
      <x:c r="A6" s="16" t="str">
        <x:v>f646002e94e80ffb</x:v>
      </x:c>
      <x:c r="B6" s="16" t="str">
        <x:v>What efforts are being made for aid in Gaza?</x:v>
      </x:c>
      <x:c r="C6" s="16" t="str">
        <x:v>Many people in Gaza are struggling to find clean water.</x:v>
      </x:c>
      <x:c r="D6" s="16" t="str">
        <x:v>[1]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[IMAGE 1: "A senior United Nations official tells the BBC that civilians may have no choice but to leave entirely."]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[IMAGE 2: "Under the deal, brokered by Qatar and France, new aid is to reach both Gaza civilians and Israeli hostages."]
[3] Palestinians tell of fears for the future as war destroys Gaza - BBC News
Israel says its air and ground operation in Gaza is aimed at destroying Hamas. The majority of Gaza's 2.3 million people are displaced and fight daily to find food, drink and medicine. Mohammed al-Khaldi, a father of two children displaced from Gaza City, told the BBC: "I lost my home, my shop and my source of income. I am no longer able to provide the simplest requirements of life for my children.
I am no longer able to provide the simplest requirements of life for my children. "I hold the Israeli occupation responsible for the massive destruction, but I do not absolve Hamas of responsibility for everything that happened," he said. Hamas is the Palestinian group which has run Gaza since 2007. Its military wing, the Izzedine al-Qassam Brigades, was thought to have about 30,000 members before the 7 October attack.
[IMAGE 3: "Palestinians in Gaza scramble to survive Israeli attacks and secure basics as they fear a return to Hamas rule, too."]
[4] Intense Israeli strikes in south Gaza city as hostages sent medicine - BBC News
The UN says that the war has displaced around 85% of Gaza's 2.3 million people, many of whom have been forced to cram into shelters and are struggling to get basic supplies. In a joint statement, a number of UN special rapporteurs said: "Currently every single person in Gaza is hungry, a quarter of the population are starving and struggling to find food and drinkable water, and famine is imminent." Israel's Defence Minister, Yoav Gallant, has said that the intense stage of Israel's military operations against Hamas would "soon" wind down in the south of Gaza, including Khan Younis, where it is thought local leaders of the armed group may be hiding. He said that the military had already switched to more targeted action in the north, where it began its ground offensive.
We carried a few blankets and walked for 5km (3.1 miles) to reach the entrance to the city of Rafah, and now we are in the street, not knowing where to go." On Wednesday the Jordanian army said its military field hospital in Khan Younis had been badly damaged as a result of Israeli shelling in the area. The Jordanian army said it held Israel responsible for a "flagrant breach of international law". The UN says that the war has displaced around 85% of Gaza's 2.3 million people, many of whom have been forced to cram into shelters and are struggling to get basic supplies.
[IMAGE 4: "Khan Younis residents report intense fighting, as Qatar says Hamas will give medicines to hostages."]
[5]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[IMAGE 5: "The US plan sees diplomatic normalisation with Arab neighbours if Israel ends its offensive."]</x:v>
      </x:c>
      <x:c r="E6" s="16" t="str"/>
      <x:c r="F6" s="18" t="str">
        <x:v>y</x:v>
      </x:c>
      <x:c r="G6" s="18" t="str">
        <x:v>text_only</x:v>
      </x:c>
      <x:c r="H6" s="16" t="str">
        <x:v>UN evidence says people are struggling to find drinkable water.</x:v>
      </x:c>
    </x:row>
    <x:row r="7" ht="72" customHeight="1">
      <x:c r="A7" s="16" t="str">
        <x:v>e2e3b7528ac5ee8b</x:v>
      </x:c>
      <x:c r="B7" s="16" t="str">
        <x:v>What changes do northern business groups want for council tax bands?</x:v>
      </x:c>
      <x:c r="C7" s="16" t="str">
        <x:v>Northern business groups are advocating for changes to council tax bands.</x:v>
      </x:c>
      <x:c r="D7" s="16" t="str">
        <x:v>[1] More than 40 Tory MPs call for extra council funding - BBC News
"There's no point cutting national taxes just to see everybody's council tax go up by the maximum," he said. It is understood council leaders are lobbying the government for an extra £750m to help ease pressure over the next year, although if any additional funding is agreed it is likely to be less than that. Talks have taken place in recent weeks which have been described as "constructive" but no final decisions have been taken. If no extra funding is made available for councils, Mr Sunak could find himself facing another Commons rebellion when it comes to a vote on the issue next month.
Mark Wakeling, the charity's chief executive, said: "It's pretty shocking. We think it's a time that resources need to be increased to the sector, not reduced. "People are being asked to choose between street lighting or homelessness or paying for car parks." The council is also looking at stopping funding for all community transport that it is not legally obliged to provide.
[2] ‘Bankrupt’ Birmingham council plans up to 600 job cuts - BBC News
The BBC recently revealed the council had asked the government for permission to raise council tax by up to 10% each year for the next two years. The council is due to set its budget next month. Do you work for the council or use the services? Will these job cuts affect you?
The council owes more than £2.9bn to lenders, placing it ahead of Leeds on £2.2bn and Woking on £1.9bn. However, council bosses said it is no surprise it was top of the list as it was the largest local authority in the country. A spokesperson for the council said: "We understand that this news will be unsettling, and I want to reassure you that we are here to support you through this process." The BBC recently revealed the council had asked the government for permission to raise council tax by up to 10% each year for the next two years.
[3] Councils to get extra funding to tackle cash crisis - BBC News
Since 2020, finance bosses at seven councils have issued at least one Section 114 notice - in effect a declaration of bankruptcy - since 2020, with three doing so last year. The notices are an acknowledgment that a local authority cannot balance its books as required by law and lead to a freeze on non-essential spending on services. CCN chairman Councillor Tim Oliver welcomed the additional funding, saying it would "go some way to easing the pressures councils face, and in particular in addressing the escalating costs in delivering social care and home to school transport". But, he added, "service reductions will still be necessary for councils in some areas to balance their books, while the majority of councils will still have little choice but to propose maximum council tax rises".
He said local authorities would have to "produce productivity plans setting out how they will improve service performance and reduce wasteful expenditure to ensure every area is making best use of taxpayers' money". Mr Gove later told reporters the money the government was providing for councils was "not there for politically correct projects, it is there for frontline services, particularly for children who are in need". In December, the Department of Levelling Up, Housing and Communities (DLUHC) said the £64bn figure represented an above-inflation increase of 6.5%. But the settlement included council tax increases of up to 5%, meaning residents would pay more for everyday services.
[4] Ards and North Down's 'Buy Nothing New Month' Facebook post criticised - BBC News
"Continuing to support local businesses is really important but that's not mutually exclusive to sustainability. "Local businesses are driving sustainability so it is absolutely crucial that the council gets it right and does both."
Ards and North Down Borough Council says the campaign was not designed to undermine traders Irate business leaders have hit out at council's promotion of a scheme encouraging people to buy nothing new in January. A social media post by Ards and North Down Borough Council backed a campaign by environmental charity Keep Northern Ireland Beautiful. It suggested people could join the Buy Nothing New Month campaign to reduce waste and save money.
[5] Wales needs powers to set new tax rates, says Plaid Cymru - BBC News
Neither that, nor powers over tax bands, can be implemented without help from a larger party in Westminster. Currently the Welsh government can only vary the rates the UK government sets. That is unlike the the Scottish government, which has used powers to create new tax bands to adjust how much people pay according to how much they earn. Speaking at a news conference on Tuesday, Mr ap Iorwerth said: "What I'm saying is that we need to be able to target the people who can pay more, and to do so in a fair way, people who are on higher wages."
"Creating a fair society should be an ambition for all of us, collectively," he said. "We shouldn't rest until we can look around our communities and see that no-one is being left behind." Andrew RT Davies, Welsh Conservative Senedd leader, said: "Plaid Cymru has borrowed the Scottish nationalist playbook on taxation, and the outcome will be higher taxes for the poorest in Wales. "As we have seen in Scotland, people on higher wages will consider leaving if tax rates aren't competitive with other parts of the UK, and the outcome will be a higher tax burden on the lowest earners."</x:v>
      </x:c>
      <x:c r="E7" s="16" t="str"/>
      <x:c r="F7" s="18" t="str">
        <x:v>n</x:v>
      </x:c>
      <x:c r="G7" s="18" t="str">
        <x:v>unsupported</x:v>
      </x:c>
      <x:c r="H7" s="16" t="str">
        <x:v>Evidence combines an unrelated Northern business story with a Welsh tax-band proposal; the claimed advocacy is absent.</x:v>
      </x:c>
    </x:row>
    <x:row r="8" ht="72" customHeight="1">
      <x:c r="A8" s="16" t="str">
        <x:v>dc349c7540a7e700</x:v>
      </x:c>
      <x:c r="B8" s="16" t="str">
        <x:v>What happened to the American Moon mission involving the Peregrine lander?</x:v>
      </x:c>
      <x:c r="C8" s="16" t="str">
        <x:v>The American Moon mission involves the Peregrine lander.</x:v>
      </x:c>
      <x:c r="D8" s="16" t="str">
        <x:v>[1] Peregrine lander: Vulcan rocket launches US private Moon mission - BBC News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The 1.2-tonne Peregrine spacecraft is one of a clutch of US projects aiming to land in 2024 Astrobotic's venture was sent on its way by a brand new rocket called Vulcan, which left its Florida pad at 02:18 EST (07:18 GMT). Fifty minutes later, after a flawless flight, the Pittsburgh-based company's craft was ejected on a path to the Moon. It will take a few weeks to get itself into position to attempt the touch-down.
[IMAGE 1: "The Peregrine spacecraft leaves Earth, aiming to make the first US soft lunar-landing in 51 years."]
[2]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A propulsion fault prevented it from even trying to make a touchdown attempt. Dr Simeon Barber from the UK's Open University had instrumentation on Peregrine. "For me, this was all about precision landing. That's a huge Success.
[IMAGE 2: "It becomes only the fifth country to soft-land on the Moon but power supply problems may hinder its mission."]
[3]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This will go some way to explaining the difficulties it has had in generating the electricity needed to operate. The image was captured by the small baseball-sized robot called Sora-Q that was ejected from Slim moments before touchdown last Saturday. "An abnormality in the main engine affected the landing attitude of the spacecraft," the Japanese space agency Jaxa said in a statement. It seems one of the two big thrusters on Slim (Smart Lander for Investigating Moon) stopped working during the descent.
[IMAGE 3: "The first image of the Slim spacecraft shows it to be in an awkward position on the lunar surface."]
[4] Ingenuity: Damage puts end to ground-breaking Mars helicopter mission - BBC News
Watch Ingenuity's first flight: It climbed to 3m, hovered and then landed Nasa's Ingenuity Mars helicopter, which made history by achieving the first powered flight on another world, has suffered mission-ending damage. In a statement, Nasa said the aircraft was forced to perform an "emergency landing" that damaged its rotors. The space agency's Bill Nelson said the aircraft was "the little helicopter that could" and had racked up far more flights than had been intended.
The space agency's Bill Nelson said the aircraft was "the little helicopter that could" and had racked up far more flights than had been intended. He said Ingenuity had "paved the way for future flight in our Solar System". Ingenuity took a picture of the shadow cast by a broken rotor blade Ingenuity is said to remain "upright" but images showed that "one or more of its rotor blades" were damaged and it was "no longer capable of flight".
[IMAGE 4: "The first vehicle to achieve powered flight on another planet suffers rotor damage three years into tour."]
[5] Yemen: US shoots down missile from Houthi-run area fired towards warship - BBC News
The missile fired towards the USS Laboon, seen here in a file photo, was downed The US military says it has shot down a missile fired towards one of its warships from a Houthi area of Yemen. The anti-ship cruise missile - fired towards the USS Laboon in the Red Sea - was downed off the coast of Hudaydah by a US fighter aircraft. No injuries or damage were reported in the incident on Sunday afternoon.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[IMAGE 5: "A fighter jet downs the missile from a Houthi-run area following US-UK strikes in Yemen."]</x:v>
      </x:c>
      <x:c r="E8" s="16" t="str"/>
      <x:c r="F8" s="18" t="str">
        <x:v>y</x:v>
      </x:c>
      <x:c r="G8" s="18" t="str">
        <x:v>text_only</x:v>
      </x:c>
      <x:c r="H8" s="16" t="str">
        <x:v>The source identifies Peregrine as a US private Moon mission and describes its launch.</x:v>
      </x:c>
    </x:row>
    <x:row r="9" ht="72" customHeight="1">
      <x:c r="A9" s="16" t="str">
        <x:v>48dcf42ac81ad1fc</x:v>
      </x:c>
      <x:c r="B9" s="16" t="str">
        <x:v>What did the RAC say about the motorway electric car charge point target?</x:v>
      </x:c>
      <x:c r="C9" s="16" t="str">
        <x:v>The Department for Transport has acknowledged that the number of public charge points is rising.</x:v>
      </x:c>
      <x:c r="D9" s="16" t="str">
        <x:v>[1] BT Group to turn old street cabinets into electric vehicle charging points - BBC News
BT hopes up to 60,000 could be converted, which would help tackle a shortfall in electric car chargers. The government's ambition is to increase the number of charging points from more than 50,000 today to 300,000 by 2030 but Zapmap figures show nearly a third of all UK charging points are currently in London. People have complained about the lack of charging ports in some areas and that some do not work or are unreliable. This pilot project by BT will explore how this solution could be scaled up to address the lack of chargers on UK roads, something that motoring groups have said is holding back Britain's electric car revolution.
"Harnessing existing street furniture is a great way to increase the number of public EV charging points without further adding to clutter along our footpaths," he said. "Making this even more valuable, many of these green street cabinets are located in residential areas across the UK, including smaller villages and towns, where charging infrastructure is most severely lacking." The Department for Transport told the BBC that they have committed "hundreds of millions of pounds to expand local charging across England." Their spokesperson said: "The number of public charge points is rising across the country - increasing by 44% since December 2022.
[IMAGE 1: "Up to 60,000 could be converted to tackle a shortfall in electric car charging points, the group says."]
[2] 20mph: Drakeford says confused drivers will not face 20mph fine - BBC News
"Where people deliberately break the law, where people drive well above 20mph in a 20mph zone, then the law will have to be enforced." He added: "I think if the police find somebody driving above 20mph and the reason is they are genuinely confused about that - I don't think in those circumstances of genuine confusion the police will move to enforcement. "If there are examples, genuine examples, where people just have misunderstood that this piece of road that they are on is now a 20mph limit, I think that will be resolved through the way that the police intend to respond. "But it would need to be genuine confusion, rather than just a claim to be confused."
South Wales Police and Crime Commissioner Alun Michael said "common sense will be applied". "It's not as if there's a will to make life difficult for drivers," he said. Mr Michael told BBC Radio Wales Breakfast that people who did not want it needed to recognise it was now law, and use their common sense in the way they drive. "This is now the law, let's make it work," Mr Michael said.
[IMAGE 2: "Enforcement of the Welsh government's flagship 20mph policy begins on Monday."]
[3] China’s BYD overtakes Tesla's electric car sales in last quarter of 2023 - BBC News
Last January, Mr Musk said that Tesla had the potential to achieve two million deliveries in 2023. The firm cut prices repeatedly to try to woo buyers. The milestone achieved by BYD is a reminder of the challenges facing the firm, which helped to launch the electric vehicle industry. "As BYD has accelerated into the fast lane, it's fresh evidence of just how competitive the EV market has become and how hard it will be for Tesla to swerve back to head the pack," said Susannah Streeter, head of money and markets at Hargreaves Lansdown.
Chinese company BYD sold more electric vehicles than Elon Musk's Tesla in the last three months of 2023 as the two battled for top spot in the sector. BYD said on Monday it had sold a record 526,000 battery-only vehicles in the final quarter of 2023. It marked the first quarter its battery-only sales have outpaced Tesla's. The US-based firm has seen demand slow as borrowing costs climb.
[IMAGE 3: "Electric-only deliveries from Chinese company BYD outpaced Elon Musk's Tesla for the first time."]
[4] Llanelli attempted kidnap: Man tried to drag woman into car - report - BBC News
The force added that its investigation had established the car drove along Hendre Road from Tan Y Graig Road. The police are appealing for information and encouraging local people to check CCTV and doorbell or dashcam footage for sightings of the car.
The car the man was driving is being sought by police A man tried to drag a woman into a car in an attempted kidnap, according to reports to police. They launched an investigation into the matter after they were contacted at about 23:45 GMT on Saturday. The force said the man approached the woman in a dark red or burgundy car as she walked from the British Royal Legion pub on Tan Y Graig Road, Llanelli, in Carmarthenshire.
[IMAGE 4: "The force said the the man asked her to get into the vehicle before grabbing her."]
[5] Young drivers face £3,000 cost for car insurance - BBC News
The association said the figures were based on the price customers paid for their cover rather than what they were quoted. Are you struggling with the cost of car insurance? Share your experiences by emailing haveyoursay@bbc.co.uk. Please include a contact number if you are willing to speak to a BBC journalist.
But he said with the price rises for 17-20-year-olds many young drivers would be looking at whether they can afford to drive at all. "The industry has to be careful not to push younger drivers into other modes of transport and that's a real risk when prices get this high," he said. The Association of British Insurers (ABI) said while car insurance could be expensive there were ways to bring costs down. It added that it was important that motorists never drove without cover and urged anyone struggling with costs to speak to their insurers.
[IMAGE 5: "Inflation and repairs have sent quotes soaring for younger motorists, according to data."]</x:v>
      </x:c>
      <x:c r="E9" s="16" t="str">
        <x:v>data/images/1bce062351592575.jpg|data/images/db72c77fd75f39eb.jpg|data/images/c8e5dcf663ea77f2.jpg|data/images/5968332585fc2388.jpg|data/images/b10eb65a88f11e83.jpg</x:v>
      </x:c>
      <x:c r="F9" s="18" t="str">
        <x:v>y</x:v>
      </x:c>
      <x:c r="G9" s="18" t="str">
        <x:v>text_only</x:v>
      </x:c>
      <x:c r="H9" s="16" t="str">
        <x:v>The Department for Transport is quoted saying public charge points are rising, up 44% since December 2022.</x:v>
      </x:c>
    </x:row>
    <x:row r="10" ht="72" customHeight="1">
      <x:c r="A10" s="16" t="str">
        <x:v>966ee7873b7f9717</x:v>
      </x:c>
      <x:c r="B10" s="16" t="str">
        <x:v>What did United Airlines find during inspections of the Boeing 737 Max 9?</x:v>
      </x:c>
      <x:c r="C10" s="16" t="str">
        <x:v>The inspections were mandated by the Federal Aviation Administration (FAA).</x:v>
      </x:c>
      <x:c r="D10"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[IMAGE 1: "The US aviation regulator grounds 737 Max 9s to conduct urgent checks after the incident in Oregon."]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[IMAGE 2: "It comes after part of the fuselage of an Alaska Airlines Boeing 737 Max 9 fell off, forcing an emergency landing."]
[3] US launches Boeing investigation after blowout - BBC News
Airline regulators in the US have formally launched an investigation of Boeing's processes, after a door plug blew off one of its planes. The Federal Aviation Administration (FAA) said it would examine whether Boeing failed to ensure its completed jets matched their approved design. The FAA had already grounded most of the 737 Max 9 fleet for inspection. The reviews after the emergency on the Alaska Airlines flight have uncovered issues such as loose bolts.
The incident has revived scrutiny of Boeing, which has been trying to repair its reputation after crashes in 2018 and 2019 involving a different version of the 737 Max plane killed 346 people. Its popular 737 Max planes were subsequently grounded globally for more than 18 months. It has reported a string of smaller issues as production resumed.
[IMAGE 3: "The Federal Aviation Administration will examine the jet-maker's processes after last Friday's emergency."]
[4]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[IMAGE 4: "The Alaska Airlines incident could have been much worse, but is still a major issue for the US plane-maker."]
[5]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[IMAGE 5: "The plane maker will allow independent assessments after a door plug fell from one of its aircraft."]</x:v>
      </x:c>
      <x:c r="E10" s="16" t="str">
        <x:v>data/images/e2316a4adbbc6b4a.jpg|data/images/9d3ac8d1c83ebb33.jpg|data/images/da207d9d47fcfca5.jpg|data/images/55ebddaec4099e6b.jpg|data/images/936e5fc1857e4aad.jpg</x:v>
      </x:c>
      <x:c r="F10" s="18" t="str">
        <x:v>y</x:v>
      </x:c>
      <x:c r="G10" s="18" t="str">
        <x:v>text_only</x:v>
      </x:c>
      <x:c r="H10" s="16" t="str">
        <x:v>Evidence explicitly says the FAA ordered immediate inspections of 737 Max 9 aircraft.</x:v>
      </x:c>
    </x:row>
    <x:row r="11" ht="72" customHeight="1">
      <x:c r="A11" s="16" t="str">
        <x:v>3f91ca951a5a3c86</x:v>
      </x:c>
      <x:c r="B11" s="16" t="str">
        <x:v>What is the current status of the US Moon mission with the Peregrine lander?</x:v>
      </x:c>
      <x:c r="C11" s="16" t="str">
        <x:v>The Peregrine lander is under a contract with NASA to carry five scientific instruments.</x:v>
      </x:c>
      <x:c r="D11" s="16" t="str">
        <x:v>[1] Peregrine lander: Vulcan rocket launches US private Moon mission - BBC News
Astrobotic's robotic lander, called Peregrine, has been contracted by Nasa to carry five scientific instruments. These will study the Moon's surface environment ahead of human missions later this decade. Peregrine is part of a stampede of spacecraft that will attempt to put themselves on the lunar surface in 2024 - possibly as many as eight different projects, including from Japan and China. The 1.2-tonne Peregrine spacecraft is one of a clutch of US projects aiming to land in 2024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[IMAGE 1: "The Peregrine spacecraft leaves Earth, aiming to make the first US soft lunar-landing in 51 years."]
[2]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Statistically, it's proved very hard to put down softly on the lunar surface. Only about a half of all attempts have succeeded. Artwork: The hopper, Lev-1, (L) and the rolling, shape-shifting Sora-Q (R) Jaxa put its faith in new precision-navigation technologies.
[IMAGE 2: "The first image of the Slim spacecraft shows it to be in an awkward position on the lunar surface."]
[3]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Statistically, it's proven very hard to land on the Moon. Only about a half of all attempts have succeeded. Jaxa put its faith in new precision-navigation technologies. The lander's onboard computer used rapid image processing and crater mapping to avoid hazards to reach its touchdown point.
[IMAGE 3: "It becomes only the fifth country to soft-land on the Moon but power supply problems may hinder its mission."]
[4] European mission approved to detect cosmic ripples - BBC News
Esa's Science Programme Committee (SPC) selected Lisa as a candidate mission in 2017. Since then the agency's technical staff, with support from European industry and academia, have been studying whether the mission is actually feasible. A positive assessment has now allowed Esa delegations to formally "adopt" the project. The UK Space Agency has given its support although this has the reservation that a business case still needs to be made to His Majesty's Treasury.
A robot will place the mirrors on the optical benches in exactly the right place with the correct angle Lisa has already been in development for decades, and has gone through various ups and downs, not least with the participation of the Americans. They've been in and out, but are now fully back on board, and will bring important technologies, including the lasers. Esa's Science Programme Committee (SPC) selected Lisa as a candidate mission in 2017.
[IMAGE 4: "The Lisa project to detect gravitational waves will be one of the most complex ever space missions."]
[5] Ingenuity: Damage puts end to ground-breaking Mars helicopter mission - BBC News
Many will mourn the passing of the plucky chopper but its withdrawal from service has probably come at the right time, the BBC's science correspondent Jonathan Amos says. The Perseverance rover is about to undertake some long, fast drives as it seeks to climb up on to the rim of Jezero Crater. If still functional, Ingenuity would, in all likelihood, have struggled to keep up with Perseverance, or at the very least held up the rover's exploration.
"That remarkable helicopter flew higher and farther than we ever imagined and helped Nasa do what we do best - make the impossible, possible." Ingenuity reached the Red Planet in February 2021 by riding on the belly of the Perseverance rover. It was meant to be on a short technology demonstration to prove flight was possible in the ultra-thin Martian atmosphere. Ingenuity was only expected to fly perhaps four or five times
[IMAGE 5: "The first vehicle to achieve powered flight on another planet suffers rotor damage three years into tour."]</x:v>
      </x:c>
      <x:c r="E11" s="16" t="str"/>
      <x:c r="F11" s="18" t="str">
        <x:v>y</x:v>
      </x:c>
      <x:c r="G11" s="18" t="str">
        <x:v>text_only</x:v>
      </x:c>
      <x:c r="H11" s="16" t="str">
        <x:v>Evidence explicitly says NASA contracted Peregrine to carry five scientific instruments.</x:v>
      </x:c>
    </x:row>
    <x:row r="12" ht="72" customHeight="1">
      <x:c r="A12" s="16" t="str">
        <x:v>c46e96aba9514893</x:v>
      </x:c>
      <x:c r="B12" s="16" t="str">
        <x:v>What is the current status of the US Moon mission with the Peregrine lander?</x:v>
      </x:c>
      <x:c r="C12" s="16" t="str">
        <x:v>The five instruments are intended to study the Moon's surface environment.</x:v>
      </x:c>
      <x:c r="D12" s="16" t="str">
        <x:v>[1] Peregrine lander: Vulcan rocket launches US private Moon mission - BBC News
Astrobotic's robotic lander, called Peregrine, has been contracted by Nasa to carry five scientific instruments. These will study the Moon's surface environment ahead of human missions later this decade. Peregrine is part of a stampede of spacecraft that will attempt to put themselves on the lunar surface in 2024 - possibly as many as eight different projects, including from Japan and China. The 1.2-tonne Peregrine spacecraft is one of a clutch of US projects aiming to land in 2024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[IMAGE 1: "The Peregrine spacecraft leaves Earth, aiming to make the first US soft lunar-landing in 51 years."]
[2]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Statistically, it's proved very hard to put down softly on the lunar surface. Only about a half of all attempts have succeeded. Artwork: The hopper, Lev-1, (L) and the rolling, shape-shifting Sora-Q (R) Jaxa put its faith in new precision-navigation technologies.
[IMAGE 2: "The first image of the Slim spacecraft shows it to be in an awkward position on the lunar surface."]
[3]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Statistically, it's proven very hard to land on the Moon. Only about a half of all attempts have succeeded. Jaxa put its faith in new precision-navigation technologies. The lander's onboard computer used rapid image processing and crater mapping to avoid hazards to reach its touchdown point.
[IMAGE 3: "It becomes only the fifth country to soft-land on the Moon but power supply problems may hinder its mission."]
[4] European mission approved to detect cosmic ripples - BBC News
Esa's Science Programme Committee (SPC) selected Lisa as a candidate mission in 2017. Since then the agency's technical staff, with support from European industry and academia, have been studying whether the mission is actually feasible. A positive assessment has now allowed Esa delegations to formally "adopt" the project. The UK Space Agency has given its support although this has the reservation that a business case still needs to be made to His Majesty's Treasury.
A robot will place the mirrors on the optical benches in exactly the right place with the correct angle Lisa has already been in development for decades, and has gone through various ups and downs, not least with the participation of the Americans. They've been in and out, but are now fully back on board, and will bring important technologies, including the lasers. Esa's Science Programme Committee (SPC) selected Lisa as a candidate mission in 2017.
[IMAGE 4: "The Lisa project to detect gravitational waves will be one of the most complex ever space missions."]
[5] Ingenuity: Damage puts end to ground-breaking Mars helicopter mission - BBC News
Many will mourn the passing of the plucky chopper but its withdrawal from service has probably come at the right time, the BBC's science correspondent Jonathan Amos says. The Perseverance rover is about to undertake some long, fast drives as it seeks to climb up on to the rim of Jezero Crater. If still functional, Ingenuity would, in all likelihood, have struggled to keep up with Perseverance, or at the very least held up the rover's exploration.
"That remarkable helicopter flew higher and farther than we ever imagined and helped Nasa do what we do best - make the impossible, possible." Ingenuity reached the Red Planet in February 2021 by riding on the belly of the Perseverance rover. It was meant to be on a short technology demonstration to prove flight was possible in the ultra-thin Martian atmosphere. Ingenuity was only expected to fly perhaps four or five times
[IMAGE 5: "The first vehicle to achieve powered flight on another planet suffers rotor damage three years into tour."]</x:v>
      </x:c>
      <x:c r="E12" s="16" t="str"/>
      <x:c r="F12" s="18" t="str">
        <x:v>y</x:v>
      </x:c>
      <x:c r="G12" s="18" t="str">
        <x:v>text_only</x:v>
      </x:c>
      <x:c r="H12" s="16" t="str">
        <x:v>Evidence explicitly says the five instruments will study the Moon's surface environment.</x:v>
      </x:c>
    </x:row>
    <x:row r="13" ht="72" customHeight="1">
      <x:c r="A13" s="16" t="str">
        <x:v>2b567995562c277e</x:v>
      </x:c>
      <x:c r="B13" s="16" t="str">
        <x:v>What significant event occurred 100 days after Hamas attacked Israel?</x:v>
      </x:c>
      <x:c r="C13" s="16" t="str">
        <x:v>The coverage reports that more than 240 hostages were taken in the attack.</x:v>
      </x:c>
      <x:c r="D13" s="16" t="str">
        <x:v>[1] Israel: Woman killed, 17 hurt in suspected Palestinian car-ramming attack - BBC News
It is unclear how the attackers were stopped and arrested. Police say both suspects came from the West Bank city of Hebron and that they had both entered Israel illegally. There have been few reports of attacks in Israel since the war began on 7 October and Monday's incident will further increase the sense of anxiety among Israelis. The country is still in a state of shock after waves of Hamas gunmen burst through the border from Gaza and attacked Israeli communities, killing at least 1,200 people - mainly civilians - and taking about 240 others hostage 101 days ago.
Israel says 9,000 of those killed in Gaza were Hamas combatants. It has vowed to destroy the group and free the remaining hostages. Correction 13th February: This article wrongly reported that about 1,300 people had been killed following the 7th October attack by Hamas. This was based on counting those who later died from their injuries in addition to the figure of more than 1,200.
[IMAGE 1: "Two Palestinians are arrested after several cars are used in what police say was a terrorist attack."]
[2] More than 25,000 now killed in Gaza since Israel offensive began, Hamas-run health ministry says - BBC News
The White House has said the US and Israel "clearly see things differently" when it comes to a two-state solution. Israel began its offensive following the 7 October attack in which Hamas fighters killed about 1,200 people in southern Israel and took more than 240 hostage. In its first public account of the October assault, published on Sunday, Hamas described it as a "necessary step" against the Israeli occupation of the Palestinian territories and a way to secure the release of Palestinian prisoners. Israel's air and ground operation is currently focusing on southern Gaza, where the military are convinced top Hamas commanders are holed up in, or beneath, the city of Khan Younis.
US intelligence agencies reportedly estimate that the Israeli military has killed 20-30% of Hamas fighters, which falls far short of Mr Netanyahu's stated aim of "completely destroying" the armed group. The classified report is also said to have found that Hamas still has enough munitions to continue striking Israel and Israeli forces for months, raising the spectre of a prolonged war in which Israel could get bogged down. The apparent slow progress, the fact no top Hamas commander has yet been captured or killed, and the collective trauma over the 130 or so Israeli hostages still missing, is prompting growing anti-government anger in Israel. Protests are continuing by relatives of those still held by Hamas, calling for Mr Netanyahu to prioritise their release over the potentially impossible aim of destroying Hamas.
[IMAGE 2: "The grim milestone comes as Israel presses its war in Gaza and rejects calls for a Palestinian state."]
[3] 'Deep concern' for patients and staff at Gaza's al-Aqsa hospital - BBC News
"The offensive in these areas results in the killing and injury of many people and having devastating consequences for tens of thousands of civilians, many of whom had already fled for safety from Gaza City and the north to central and southern Gaza," it warned. Israel says it is carrying out military operations in Gaza to "eradicate" Hamas and rescue hostages taken by the group. It says it tries to avoid harm to civilians and blames Hamas for embedding fighters among them. The war was triggered by an unprecedented cross-border attack by Hamas gunmen on southern Israel on 7 October, in which about 1,200 people were killed - most of them civilians - and about 240 others taken hostage.
The war was triggered by an unprecedented cross-border attack by Hamas gunmen on southern Israel on 7 October, in which about 1,200 people were killed - most of them civilians - and about 240 others taken hostage. More than 23,350 people have been killed in Gaza - mostly children and women - during the 13 weeks of fighting since then, according to the Hamas-run health ministry. Correction 13th February: This article wrongly reported that about 1,300 people had been killed following the 7th October attack by Hamas. This was based on counting those who later died from their injuries in addition to the figure of more than 1,200.
[IMAGE 3: "Three UK doctors who worked at al-Aqsa hospital warn of a "disaster" as fighting nearby intensifies."]
[4] Israel says war in Gaza expected to continue throughout 2024 - BBC News
The figures included 156 people killed and 246 injured in the last 24 hours, the ministry added. The latest war was triggered by an unprecedented cross-border attack by Hamas gunmen on southern Israel on 7 October, in which 1,200 people were killed - most of them civilians - and about 240 others taken hostage. Israel continued its bombardment of Gaza up until the end of what has been a dark year in the region. The IDF said it killed a senior Hamas commander involved in the 7 October attack, Adil Mismah, in an overnight strike on the town of Deir al-Balah.
Hamas's military wing, the Ezzedine al-Qassam Brigades, said in a video posted on social media that it carried out both attacks. They said M90 rockets were used in "response to the massacres of civilians" perpetrated by Israel.
[IMAGE 4: "In a new year message, Israel's military says it expects fighting in Gaza for the rest of the year."]
[5] Iran warns air strike on Syria will not go unanswered - BBC News
The Middle East has been on heightened alert since 7 October, when Hamas launched an attack on southern Israel, killing about 1,200 people, mainly civilians, and taking 240 hostages back to Gaza. More than 132 hostages are thought to still be held in the territory. More than 24,900 people have been killed in Gaza since Israel launched its military response, according to the Hamas-run health ministry. Israel says its ground and air operation in Gaza is aimed at destroying Hamas.
"The sound was similar to a missile explosion, and minutes later I heard the sound of ambulances," he added. Videos, which the BBC has not verified, showed a large cloud of smoke and buildings destroyed. Last month a suspected Israeli air strike just outside Damascus killed a senior IRGC commander. The Middle East has been on heightened alert since 7 October, when Hamas launched an attack on southern Israel, killing about 1,200 people, mainly civilians, and taking 240 hostages back to Gaza.
[IMAGE 5: "Iran's president blames Israel for the strike in the Syrian capital which killed five senior advisers."]</x:v>
      </x:c>
      <x:c r="E13" s="16" t="str">
        <x:v>data/images/926d6e89c92eae77.jpg|data/images/f59a9727d9639290.jpg|data/images/aaf9f9255edacf2d.jpg|data/images/2f46d15a85d64531.jpg|data/images/9ea3476a7d2bcfc5.jpg</x:v>
      </x:c>
      <x:c r="F13" s="18" t="str">
        <x:v>y</x:v>
      </x:c>
      <x:c r="G13" s="18" t="str">
        <x:v>text_only</x:v>
      </x:c>
      <x:c r="H13" s="16" t="str">
        <x:v>Evidence repeatedly states that about or more than 240 people were taken hostage in the attack.</x:v>
      </x:c>
    </x:row>
    <x:row r="14" ht="72" customHeight="1">
      <x:c r="A14" s="16" t="str">
        <x:v>558befb7697e3923</x:v>
      </x:c>
      <x:c r="B14" s="16" t="str">
        <x:v>What did United Airlines find during inspections of the Boeing 737 Max 9?</x:v>
      </x:c>
      <x:c r="C14" s="16" t="str">
        <x:v>The FAA ordered the inspections because of concerns about significant problems with the 737 Max 9.</x:v>
      </x:c>
      <x:c r="D14"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[3]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[4]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[5] Boeing seeks Ryanair support with checks after mid-air blowout - BBC News
On Monday, Boeing announced that an outside party would also be brought in to assess its production practices. It will also check the work of the firm that supplies and installs the parts involved in the accident. Last week, the US regulator extended the grounding of 737 Max's with similar fuselage panels, while United and Alaska Airlines have said they were extending the cancellations of any flights involving the 737 Max 9 through until Wednesday. The Federal Aviation Administration (FAA) also said it would conduct an audit of the plane's production line, adding it believed there were "significant problems" with the 737 Max 9 jet as well as "other manufacturing problems".
Boeing has asked Ryanair to send extra engineers to oversee quality checks of its planes "on the ground" following the Alaska Airlines incident. Ryanair's boss told the BBC that quality was improving but the incident had shown there was "more to be done". It comes after an unused door fell off a Boeing 737 Max 9 operated by US-based Alaska Airlines. Ryanair does not use Boeing's 737 Max 9 aircraft but operates the Max 8 variant and has Max 10s on order.</x:v>
      </x:c>
      <x:c r="E14" s="16" t="str"/>
      <x:c r="F14" s="18" t="str">
        <x:v>n</x:v>
      </x:c>
      <x:c r="G14" s="18" t="str">
        <x:v>unsupported</x:v>
      </x:c>
      <x:c r="H14" s="16" t="str">
        <x:v>The FAA ordered inspections and separately identified significant problems, but the evidence does not establish that causal link.</x:v>
      </x:c>
    </x:row>
    <x:row r="15" ht="72" customHeight="1">
      <x:c r="A15" s="16" t="str">
        <x:v>8dc8b8eded491610</x:v>
      </x:c>
      <x:c r="B15" s="16" t="str">
        <x:v>What plans did an Israeli minister outline for Gaza after the war?</x:v>
      </x:c>
      <x:c r="C15" s="16" t="str">
        <x:v>Ongoing destruction in Gaza has led to significant humanitarian concerns.</x:v>
      </x:c>
      <x:c r="D15" s="16" t="str">
        <x:v>[1] Israel reined in by ICJ rulings on Gaza - but will it obey? - BBC News
By large majorities the court's 17 judges ruled that Israel should do everything in its power to avoid killing Palestinians, causing them serious bodily or mental harm, creating intolerable living conditions in Gaza, or deliberately preventing Palestinian births. It also said Israel should do more to "prevent and punish" public incitement to genocide, citing examples by Israel's president and defence minister. And there was a call for "immediate and effective measures" to address the humanitarian catastrophe in Gaza. Not a call for a ceasefire, then, but a series of demands that, if implemented, would drastically change the nature of Israel's military campaign in Gaza.
Not a call for a ceasefire, then, but a series of demands that, if implemented, would drastically change the nature of Israel's military campaign in Gaza. Israel vehemently rejects the allegation of genocide, arguing that it is Hamas that's responsible for putting Palestinian civilians in harm's way. It says Hamas operates inside and underneath Gaza's densely populated towns and refugee camps, making it virtually impossible for Israel to avoid killing civilians. And it says that it has gone to great lengths to warn civilians to avoid danger.
[IMAGE 1: "The demands, if implemented, would drastically change the nature of Israel's Gaza campaign."]
[2] Israel says war in Gaza expected to continue throughout 2024 - BBC News
"As the (army) chief of staff has said, the war will continue for many more months." Israel's far-right Finance Minister Bezalel Smotrich called for Palestinians to leave Gaza and make way for Israelis who could "make the desert bloom". The official line from the Israeli government is that Gazans will eventually be able to return to their homes, though it has yet to outline how or when this will be possible. Air raid sirens sounded in Tel Aviv and southern Israel as it saw in the new year, with Israeli missile defence systems intercepting rockets fired from Gaza, AFP reported.
More than 21,800 people have been killed in Gaza - mostly children and women The Israeli military has said it expects the conflict in Gaza to continue throughout 2024. In a new year's message, the Israel Defense Forces (IDF) spokesman said troop deployments were being adjusted to prepare for "prolonged fighting". Daniel Hagari said some troops - especially reservists - would be withdrawn to allow them to regroup.
[IMAGE 2: "In a new year message, Israel's military says it expects fighting in Gaza for the rest of the year."]
[3] Palestinian envoy Husam Zomlot says UK guilty of hypocrisy - BBC News
The envoy accused Israel of an "unprecedented manmade humanitarian disaster" in Gaza, and called on the international community to demand a ceasefire. "Nothing comes before an immediate ceasefire," he said. "This remains our top, top priority." About 24,000 people have been killed in Israel's bombardment of Gaza - most of them women and children - since 7 October, according to Gaza's Hamas-run health ministry.
The move followed the announcement of a similar plan by the US. "[This is] welcomed," said Mr Zomlot. "In my opinion that was a very significant moment - not because of the policy itself but because this is the first time in 75 years the UK takes any step that has to do with sanctions [on Israel]." There has been a reported rise in violence by settlers in recent months, especially since the mass Hamas attacks on Israel on 7 October and the Israeli military campaign in Gaza which followed.
[IMAGE 3: "Husam Zomlot says the UK's policies towards Israel have caused it "reputational damage"."]
[4] Gaza destruction risks lost generation of children, says UN official - BBC News
With other key institutions like Gaza's parliament and a brand-new courthouse - the Palace of Justice, paid for by Qatar - also destroyed by Israeli forces, there's very little left of Gazan society. Israel's prime minister insists his military campaign in Gaza will continue until "total victory" and Hamas is no longer a threat to Israel. Official Israeli government policy is that ultimately no Israelis will remain in Gaza, but what will be left of the territory on the day when the war, eventually, ends?
He was studying in the UN school. Nothing is left of it." Like any society, Gaza's future is its children. But here, they're disproportionately victims of war and, says the UN, may lose out completely on what should be rightfully theirs
[IMAGE 4: "A senior United Nations official tells the BBC that civilians may have no choice but to leave entirely."]
[5] Israel-Gaza war: The huge challenges facing Israel's 'day after' plan - BBC News
The plan proposes that Israel, Egypt and the US would work to secure the porous border between Egypt and Gaza But writing for the British think tank Chatham House, Dr Sanam Vakil and Dr Neil Quilliam urge Arab governments not to wait. "Without serious regional planning and investment in Gaza," they write, "a potential outcome that could materialize is lawlessness and a Palestinian political vacuum alongside the grim reality of famine, disease and death." And what of that "Palestinian political vacuum"?
It's when the plan touches on what it calls "the four corners of the civilian square" that things get a little blurry. Israel's rigid control over the entry of goods into the Gaza Strip - a fact of life for the past two decades - would continue. Prime Minister Benjamin Netanyahu has not publicly commented on the plan Israel, Egypt and the United States would work together on ways to secure the porous border between Egypt and Gaza - something that would involve solving the problem of tunnels once and for all.
[IMAGE 5: "Paul Adams examines the Gaza proposal - which is little more than a series of bullet points."]</x:v>
      </x:c>
      <x:c r="E15" s="16" t="str">
        <x:v>data/images/d133f3fd427b14ac.jpg|data/images/2f46d15a85d64531.jpg|data/images/33e75d4920026ce2.jpg|data/images/e83342dba7264808.jpg|data/images/2d9da22c87b7538f.jpg</x:v>
      </x:c>
      <x:c r="F15" s="18" t="str">
        <x:v>y</x:v>
      </x:c>
      <x:c r="G15" s="18" t="str">
        <x:v>both</x:v>
      </x:c>
      <x:c r="H15" s="16" t="str">
        <x:v>Text describes a humanitarian catastrophe and destroyed institutions; supplied images independently show displacement and extensive rubble.</x:v>
      </x:c>
    </x:row>
    <x:row r="16" ht="72" customHeight="1">
      <x:c r="A16" s="16" t="str">
        <x:v>962bbbe0f313b6f1</x:v>
      </x:c>
      <x:c r="B16" s="16" t="str">
        <x:v>What efforts are being made for aid in Gaza?</x:v>
      </x:c>
      <x:c r="C16" s="16" t="str">
        <x:v>The deal provides medicines to hostages held by Hamas.</x:v>
      </x:c>
      <x:c r="D16" s="16" t="str">
        <x:v>[1]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[3]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[4] Mediators push for Gaza ceasefire deal but gaps remain between Israel and Hamas - BBC News
The UN says the humanitarian situation in Gaza is "appalling", with 2.2 million Palestinians living in "inhumane, squalid conditions" With more than 25,000 people now killed in Gaza, according to local health officials, and a catastrophic humanitarian situation, international calls for a ceasefire have become much harder for Israel to ignore. Meanwhile, noisy protests and rallies by the families of Israeli hostages ensure their demand to bring home their loved ones has become a priority of domestic politics. They have overwhelming public sympathy.
However, one thing that Israel and its Western allies are unlikely to compromise on is that Hamas leaders must be removed from power in Gaza, to ensure that there can be no repeat of the attacks three months ago, which killed about 1,200 people. Interestingly, there have been unconfirmed media reports this week that as part of a ceasefire and hostage release proposal, Israel had made an offer to allow top Hamas leaders in Gaza to relocate to other countries. Hamas claimed it had rejected such a proposal. The UN says the humanitarian situation in Gaza is "appalling", with 2.2 million Palestinians living in "inhumane, squalid conditions"
[5] UNRWA claims: UK halts aid to UN agency over allegation staff helped Hamas attack - BBC News
Another 250 people were taken hostage. The events triggered Israel's retaliatory attacks on Hamas in Gaza, which have killed more than 26,000 Palestinians, according to the territory's Hamas-run health ministry. The US, Germany and the EU are among some of UNRWA's biggest donors. The agency says it is struggling to get humanitarian aid to many of the estimated 1.7 million people - nearly three-quarters of the population - displaced by 12 weeks of fighting.
The agency says it is struggling to get humanitarian aid to many of the estimated 1.7 million people - nearly three-quarters of the population - displaced by 12 weeks of fighting. A number of UN facilities where Gazans had taken shelter have been hit in Israeli air strikes. On Wednesday, 12 people were killed when a UN shelter was struck in Khan Younis in southern Gaza. Correction 13th February: This article wrongly reported that about 1,300 people had been killed following the 7th October attack by Hamas.</x:v>
      </x:c>
      <x:c r="E16" s="16" t="str"/>
      <x:c r="F16" s="18" t="str">
        <x:v>y</x:v>
      </x:c>
      <x:c r="G16" s="18" t="str">
        <x:v>text_only</x:v>
      </x:c>
      <x:c r="H16" s="16" t="str">
        <x:v>Evidence explicitly says medicines will be given to hostages held by Hamas.</x:v>
      </x:c>
    </x:row>
    <x:row r="17" ht="72" customHeight="1">
      <x:c r="A17" s="16" t="str">
        <x:v>b50f3d334d6c0150</x:v>
      </x:c>
      <x:c r="B17" s="16" t="str">
        <x:v>What happened to the American Moon mission involving the Peregrine lander?</x:v>
      </x:c>
      <x:c r="C17" s="16" t="str">
        <x:v>The Peregrine spacecraft weighs 1.2 tons.</x:v>
      </x:c>
      <x:c r="D17" s="16" t="str">
        <x:v>[1] Peregrine lander: Vulcan rocket launches US private Moon mission - BBC News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The 1.2-tonne Peregrine spacecraft is one of a clutch of US projects aiming to land in 2024 Astrobotic's venture was sent on its way by a brand new rocket called Vulcan, which left its Florida pad at 02:18 EST (07:18 GMT). Fifty minutes later, after a flawless flight, the Pittsburgh-based company's craft was ejected on a path to the Moon. It will take a few weeks to get itself into position to attempt the touch-down.
[IMAGE 1: "The Peregrine spacecraft leaves Earth, aiming to make the first US soft lunar-landing in 51 years."]
[2]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A propulsion fault prevented it from even trying to make a touchdown attempt. Dr Simeon Barber from the UK's Open University had instrumentation on Peregrine. "For me, this was all about precision landing. That's a huge Success.
[IMAGE 2: "It becomes only the fifth country to soft-land on the Moon but power supply problems may hinder its mission."]
[3]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This will go some way to explaining the difficulties it has had in generating the electricity needed to operate. The image was captured by the small baseball-sized robot called Sora-Q that was ejected from Slim moments before touchdown last Saturday. "An abnormality in the main engine affected the landing attitude of the spacecraft," the Japanese space agency Jaxa said in a statement. It seems one of the two big thrusters on Slim (Smart Lander for Investigating Moon) stopped working during the descent.
[IMAGE 3: "The first image of the Slim spacecraft shows it to be in an awkward position on the lunar surface."]
[4] Ingenuity: Damage puts end to ground-breaking Mars helicopter mission - BBC News
Watch Ingenuity's first flight: It climbed to 3m, hovered and then landed Nasa's Ingenuity Mars helicopter, which made history by achieving the first powered flight on another world, has suffered mission-ending damage. In a statement, Nasa said the aircraft was forced to perform an "emergency landing" that damaged its rotors. The space agency's Bill Nelson said the aircraft was "the little helicopter that could" and had racked up far more flights than had been intended.
The space agency's Bill Nelson said the aircraft was "the little helicopter that could" and had racked up far more flights than had been intended. He said Ingenuity had "paved the way for future flight in our Solar System". Ingenuity took a picture of the shadow cast by a broken rotor blade Ingenuity is said to remain "upright" but images showed that "one or more of its rotor blades" were damaged and it was "no longer capable of flight".
[IMAGE 4: "The first vehicle to achieve powered flight on another planet suffers rotor damage three years into tour."]
[5] Yemen: US shoots down missile from Houthi-run area fired towards warship - BBC News
The missile fired towards the USS Laboon, seen here in a file photo, was downed The US military says it has shot down a missile fired towards one of its warships from a Houthi area of Yemen. The anti-ship cruise missile - fired towards the USS Laboon in the Red Sea - was downed off the coast of Hudaydah by a US fighter aircraft. No injuries or damage were reported in the incident on Sunday afternoon.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[IMAGE 5: "A fighter jet downs the missile from a Houthi-run area following US-UK strikes in Yemen."]</x:v>
      </x:c>
      <x:c r="E17" s="16" t="str"/>
      <x:c r="F17" s="18" t="str">
        <x:v>y</x:v>
      </x:c>
      <x:c r="G17" s="18" t="str">
        <x:v>text_only</x:v>
      </x:c>
      <x:c r="H17" s="16" t="str">
        <x:v>Evidence states that Peregrine is a 1.2-tonne spacecraft.</x:v>
      </x:c>
    </x:row>
    <x:row r="18" ht="72" customHeight="1">
      <x:c r="A18" s="16" t="str">
        <x:v>c108eb80981611e0</x:v>
      </x:c>
      <x:c r="B18" s="16" t="str">
        <x:v>What was revealed about a British national sentenced for spying in China?</x:v>
      </x:c>
      <x:c r="C18" s="16" t="str">
        <x:v>The British government has not confirmed the individual’s nationality.</x:v>
      </x:c>
      <x:c r="D18" s="16" t="str">
        <x:v>[1] MI6 spy detained in China, authorities claim - BBC News
Chinese authorities say they have detained an individual alleged to be spying for Britain's foreign intelligence service, MI6. China's Ministry of State Security (MSS) said the individual was a foreigner and was trying to collect information inside the country. It is the latest arrest in a campaign by Chinese security to clamp down on foreign spying. The British government has not commented on the claims.
It said consular visits had been arranged following the arrest but did not say from which country. China has increasingly been publicising cases of alleged espionage by Western countries. Previous cases have focused on alleged activity by the US's Central Intelligence Agency (CIA) - so accusing Britain's MI6 is more unusual. Beijing has also launched public campaigns to raise awareness of foreign spying and calling on people to report any activity.
[IMAGE 1: "It is the latest arrest in a campaign by Chinese security to clamp down on alleged foreign spying."]
[2] Jimmy Lai: Hong Kong mogul pleads not guilty to national security crimes - BBC News
His landmark trial started on 18 December after a year-long delay and is expected to last for about 80 days. Mr Lai has been held in solitary confinement since December 2020, following his arrest for fraud and for his involvement in protests in the former British territory. He is a UK citizen and British Foreign Secretary David Cameron is among those who have called for his release. He is the most prominent person charged with violating the Beijing-backed National Security Law (NSL), which critics allege is being used to crack down on dissent.
Mr Lai, 76, is the most prominent person charged for violating the Beijing-backed National Security Law Hong Kong pro-democracy media mogul Jimmy Lai has pleaded not guilty to sedition and collusion with foreign forces in a landmark security trial. His case has sparked an international outcry and is widely seen as a test of Hong Kong's judicial independence. His landmark trial started on 18 December after a year-long delay and is expected to last for about 80 days.
[IMAGE 2: "Jimmy Lai pleads not guilty to breaching national security and colluding with foreign forces."]
[3] China warns citizens against 'exotic beauty' traps of foreign spies - BBC News
It added that Mr Li's "nightmare was far from over" even after he returned to China, as he was continuously coerced into providing the organisation with classified information. "In the end, Mr Li [was] completely reduced to a puppet at the mercy of the foreign intelligence group and has caused immeasurable harm to China's national security. the ministry said. It added that Mr Li had been arrested and will face a "rigorous trial".
The Ministry of State Security, which functions as China's intelligence and secret police agency, has increasingly been raising the alarm among citizens about the dangers of foreign spies. The ministry has also been making public the cases of people being arrested for espionage in China. Earlier this month, the ministry said Beijing had detained an individual alleged to be spying for Britain's foreign intelligence service, MI6. "I do not think honey traps are any more prevalent now than at other points in time.
[IMAGE 3: "Beijing cites story of Chinese man who fell prey to a honey trap by foreign spies."]
[4] How London hotel sting caught Swiss museum heist thieves - BBC News
"Please, any help would be great." China Guardian then tipped off the Met Police and undercover officers struck up a relationship with Mr Steel as part of a covert operation. His real name was David Lamming, they discovered, and his email address was connected to the Ahearnes. One officer, using the alias Paul, liaised with the gang and then agreed to meet Lamming to discuss a price for selling the stolen vase.
A leaflet from the Geneva museum was also retrieved. A circle had been drawn around the pictures of the stolen Ming Dynasty items. Wright and Nkhwa were each convicted in London of conspiracy to convert criminal property; they were sentenced to three years and 30 months' imprisonment respectively. Lamming changed his plea to guilty just before the trial began.
[IMAGE 4: "A vase stolen from Geneva was carried around London in a JD Sports bag as the gang looked to sell it on."]
[5] Gaza war creating a radicalisation moment, senior UK police officer says - BBC News
Senior officers also say the UK has a legal duty to support the work of the International Criminal Court, and coroners' inquests into the deaths of British nationals. The problem detectives face is that they might receive "dossiers" of evidence that war crimes have been committed, but no first or second-hand eye witness accounts. Information tends to come from law firms, non-government organisations such as charities, and "people in the middle of conflict". The counter-terrorism command is also dealing with an increased threat from hostile states, principally Russia, Iran and China.
The counter-terrorism command is also dealing with an increased threat from hostile states, principally Russia, Iran and China. In a recent case, an Austrian man, Magomed-Husejn Dovtaev, was jailed for three years after being spotted by security guards carrying out "hostile reconnaissance" on an Iranian media company in Chiswick, London, which had been threatened due to its reporting on Iran. Police are also concerned states targeting the UK are paying criminals to carry out their activities, because an organised crime gang may find it easier to operate across borders and move weapons than a spy. A new investigations team has been set up to counter hostile states, closely linked to the security and secret intelligence services, MI5 and MI6.
[IMAGE 5: "A senior police officer warns the conflict could push more people towards terrorism."]</x:v>
      </x:c>
      <x:c r="E18" s="16" t="str">
        <x:v>data/images/d2f56d9b7e7e617d.jpg|data/images/c332fb5fc74f2547.jpg|data/images/2caf08166e5676df.jpg|data/images/762409f199222e8a.jpg|data/images/c0bcec61827baf44.jpg</x:v>
      </x:c>
      <x:c r="F18" s="18" t="str">
        <x:v>n</x:v>
      </x:c>
      <x:c r="G18" s="18" t="str">
        <x:v>unsupported</x:v>
      </x:c>
      <x:c r="H18" s="16" t="str">
        <x:v>The evidence does not identify the consular country, but it does not specifically say Britain failed to confirm nationality.</x:v>
      </x:c>
    </x:row>
    <x:row r="19" ht="72" customHeight="1">
      <x:c r="A19" s="16" t="str">
        <x:v>b46721d02a932f8f</x:v>
      </x:c>
      <x:c r="B19" s="16" t="str">
        <x:v>What is the current status of the US Moon mission with the Peregrine lander?</x:v>
      </x:c>
      <x:c r="C19" s="16" t="str">
        <x:v>The Peregrine lander is among several projects aiming for lunar landings in 2024.</x:v>
      </x:c>
      <x:c r="D19" s="16" t="str">
        <x:v>[1] Peregrine lander: Vulcan rocket launches US private Moon mission - BBC News
Astrobotic's robotic lander, called Peregrine, has been contracted by Nasa to carry five scientific instruments. These will study the Moon's surface environment ahead of human missions later this decade. Peregrine is part of a stampede of spacecraft that will attempt to put themselves on the lunar surface in 2024 - possibly as many as eight different projects, including from Japan and China. The 1.2-tonne Peregrine spacecraft is one of a clutch of US projects aiming to land in 2024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[IMAGE 1: "The Peregrine spacecraft leaves Earth, aiming to make the first US soft lunar-landing in 51 years."]
[2]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Statistically, it's proved very hard to put down softly on the lunar surface. Only about a half of all attempts have succeeded. Artwork: The hopper, Lev-1, (L) and the rolling, shape-shifting Sora-Q (R) Jaxa put its faith in new precision-navigation technologies.
[IMAGE 2: "The first image of the Slim spacecraft shows it to be in an awkward position on the lunar surface."]
[3]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Statistically, it's proven very hard to land on the Moon. Only about a half of all attempts have succeeded. Jaxa put its faith in new precision-navigation technologies. The lander's onboard computer used rapid image processing and crater mapping to avoid hazards to reach its touchdown point.
[IMAGE 3: "It becomes only the fifth country to soft-land on the Moon but power supply problems may hinder its mission."]
[4] European mission approved to detect cosmic ripples - BBC News
Esa's Science Programme Committee (SPC) selected Lisa as a candidate mission in 2017. Since then the agency's technical staff, with support from European industry and academia, have been studying whether the mission is actually feasible. A positive assessment has now allowed Esa delegations to formally "adopt" the project. The UK Space Agency has given its support although this has the reservation that a business case still needs to be made to His Majesty's Treasury.
A robot will place the mirrors on the optical benches in exactly the right place with the correct angle Lisa has already been in development for decades, and has gone through various ups and downs, not least with the participation of the Americans. They've been in and out, but are now fully back on board, and will bring important technologies, including the lasers. Esa's Science Programme Committee (SPC) selected Lisa as a candidate mission in 2017.
[IMAGE 4: "The Lisa project to detect gravitational waves will be one of the most complex ever space missions."]
[5] Ingenuity: Damage puts end to ground-breaking Mars helicopter mission - BBC News
Many will mourn the passing of the plucky chopper but its withdrawal from service has probably come at the right time, the BBC's science correspondent Jonathan Amos says. The Perseverance rover is about to undertake some long, fast drives as it seeks to climb up on to the rim of Jezero Crater. If still functional, Ingenuity would, in all likelihood, have struggled to keep up with Perseverance, or at the very least held up the rover's exploration.
"That remarkable helicopter flew higher and farther than we ever imagined and helped Nasa do what we do best - make the impossible, possible." Ingenuity reached the Red Planet in February 2021 by riding on the belly of the Perseverance rover. It was meant to be on a short technology demonstration to prove flight was possible in the ultra-thin Martian atmosphere. Ingenuity was only expected to fly perhaps four or five times
[IMAGE 5: "The first vehicle to achieve powered flight on another planet suffers rotor damage three years into tour."]</x:v>
      </x:c>
      <x:c r="E19" s="16" t="str"/>
      <x:c r="F19" s="18" t="str">
        <x:v>y</x:v>
      </x:c>
      <x:c r="G19" s="18" t="str">
        <x:v>text_only</x:v>
      </x:c>
      <x:c r="H19" s="16" t="str">
        <x:v>Evidence says Peregrine is among as many as eight spacecraft projects attempting lunar landings in 2024.</x:v>
      </x:c>
    </x:row>
    <x:row r="20" ht="72" customHeight="1">
      <x:c r="A20" s="16" t="str">
        <x:v>79c02bca000a02b4</x:v>
      </x:c>
      <x:c r="B20" s="16" t="str">
        <x:v>How did Sir Jeffrey Donaldson respond to critics and threats?</x:v>
      </x:c>
      <x:c r="C20" s="16" t="str">
        <x:v>Sir Jeffrey Donaldson is facing pressure regarding the DUP's position on a new deal to end the ongoing political impasse in Northern Ireland.</x:v>
      </x:c>
      <x:c r="D20" s="16" t="str">
        <x:v>[1] Stormont crisis: DUP meets but officers make no decision - BBC News
As it turned out there wasn't a vote, nor was there a decision taken. So nothing really has changed this evening, albeit we do know Sir Jeffrey Donaldson took more time to go through the deal with the party officers. We understand Sir Jeffrey has a majority of officers in his corner so to speak, so that when he does present this deal at whatever stage in the future, he will have a majority of support on the officer team. I think the key for him is going to be the margin of support that he has.
It is facing pressure to say if it will back a new deal to end the impasse. But for now the deadlock continues. Party leader Sir Jeffrey Donaldson is a member of the party officer board, along with 11 others whose support is critical if the party's Stormont boycott is to end. The DUP said on Friday evening it understood there was "considerable interest" in the meeting, but it would "not give a running commentary on our position, save to say, we will continue to engage with the government".
[IMAGE 1: "Party officers met as they faced pressure to end the 23-month impasse, but a decision did not come."]
[2] Trevor Bartlett: Criminal probe for PC involved in fatal crash - BBC News
The officer has also been served with a gross misconduct notice for potential breaches of police standards for professional behaviour. Derrick Campbell, a regional director for the IOPC, said: "We have been in contact with Mr Bartlett's family to express our sympathy for their tragic loss, and to explain how our investigation will be conducted. "Following the conclusion of our investigation, we will decide whether to refer the matter to the Crown Prosecution Service for a charging decision and we will also determine whether disciplinary proceedings should follow." Mr Bartlett has been described as "sprightly" and "mischievous"
Mr Bartlett has been described as "sprightly" and "mischievous" Mr Bartlett, who had been married for 58 years, was a respected former newspaper photographer. He was especially known for his work with Nottingham Forest and his friendship with the team's former manager Brian Clough. The IOPC said he was hit by the police van while using a pedestrian crossing close to the Nurseryman pub at about 18:30 GMT.
[IMAGE 2: "The officer was driving a police van that hit and killed 80-year-old Trevor Bartlett."]
[3] Tory MP Nadhim Zahawi plays himself in Post Office scandal TV drama - BBC News
dreadful and it's been going on for so long. The Conservative government really needs to sort out the compensation. "I regret not having asked the Post Office managers even tougher questions than I did." Asked why he accepted the Post Office's assertions at face value, Sir Ed replied: "I asked really tough questions of Post Office managers and indeed the officials.
Asked why he accepted the Post Office's assertions at face value, Sir Ed replied: "I asked really tough questions of Post Office managers and indeed the officials. I wish I'd gone further." He congratulated Mr Bates for his campaign, he added.
[IMAGE 3: "The former chancellor plays himself putting tough questions to then-chief executive Paula Vennells."]
[4] Stormont stalemate: Deadline to restore Northern Ireland Executive to expire - BBC News
But him having the power to do that and actually doing that are two very different things. Mr Heaton-Harris said it was regrettable that Stormont power-sharing had not been restored. "The people of Northern Ireland deserve local political leadership from representatives they have elected to govern on their behalf," he said in a statement. DUP leader Sir Jeffrey Donaldson has called for a better financial package for incoming ministers
DUP leader Sir Jeffrey Donaldson has called for a better financial package for incoming ministers In the Commons on Wednesday, Mr Heaton-Harris addressed the upcoming deadline. He told MPs: "I will need to bring in primary legislation because a duty does fall on me to call an election for the Northern Ireland Assembly. "I have a number of weeks, I think 12 weeks, in which to do that.
[IMAGE 4: "Breaching the deadline creates a legal duty for an early NI election but it has been delayed before."]
[5] JPR Williams: Wales and British and Irish Lions legend dies aged 74 - BBC Sport
"When he was with the 1974 Lions in South Africa, when the fights broke out, he kept running in from full-back to punch the forwards. He was perhaps the most competitive bloke I have ever come across. "He was ferociously competitive. It is very sad, he was just a great rugby player and an incredible character.
"He was the defensive rock in every team in which he played, the counter-attacking inspiration and the man who feared nothing and never saw a lost cause. We all thought he was 'Mr Indestructible'. "Although he played during the amateur era, he was thoroughly professional in his sporting outlook and always drove standards in training and on the field. With JPR in your side, there was always a chance of winning anything.
[IMAGE 5: "Legendary Wales and British and Irish Lions full-back JPR Williams dies at the age of 74."]</x:v>
      </x:c>
      <x:c r="E20" s="16" t="str">
        <x:v>data/images/71fa12078ec38ca9.jpg|data/images/a492159227a45ecf.jpg|data/images/4df2fabdda435df0.jpg|data/images/9ff6a50b46cf0df9.jpg|data/images/23e8da4f27d6692f.jpg</x:v>
      </x:c>
      <x:c r="F20" s="18" t="str">
        <x:v>y</x:v>
      </x:c>
      <x:c r="G20" s="18" t="str">
        <x:v>text_only</x:v>
      </x:c>
      <x:c r="H20" s="16" t="str">
        <x:v>Evidence says the DUP and its leader faced pressure over backing a deal to end the impasse.</x:v>
      </x:c>
    </x:row>
    <x:row r="21" ht="72" customHeight="1">
      <x:c r="A21" s="16" t="str">
        <x:v>51fd8ccdabcac92c</x:v>
      </x:c>
      <x:c r="B21" s="16" t="str">
        <x:v>What efforts are being made for aid in Gaza?</x:v>
      </x:c>
      <x:c r="C21" s="16" t="str">
        <x:v>The UN reports that the humanitarian situation in Gaza is appalling.</x:v>
      </x:c>
      <x:c r="D21" s="16" t="str">
        <x:v>[1]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[3]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[4] Mediators push for Gaza ceasefire deal but gaps remain between Israel and Hamas - BBC News
The UN says the humanitarian situation in Gaza is "appalling", with 2.2 million Palestinians living in "inhumane, squalid conditions" With more than 25,000 people now killed in Gaza, according to local health officials, and a catastrophic humanitarian situation, international calls for a ceasefire have become much harder for Israel to ignore. Meanwhile, noisy protests and rallies by the families of Israeli hostages ensure their demand to bring home their loved ones has become a priority of domestic politics. They have overwhelming public sympathy.
However, one thing that Israel and its Western allies are unlikely to compromise on is that Hamas leaders must be removed from power in Gaza, to ensure that there can be no repeat of the attacks three months ago, which killed about 1,200 people. Interestingly, there have been unconfirmed media reports this week that as part of a ceasefire and hostage release proposal, Israel had made an offer to allow top Hamas leaders in Gaza to relocate to other countries. Hamas claimed it had rejected such a proposal. The UN says the humanitarian situation in Gaza is "appalling", with 2.2 million Palestinians living in "inhumane, squalid conditions"
[5] UNRWA claims: UK halts aid to UN agency over allegation staff helped Hamas attack - BBC News
Another 250 people were taken hostage. The events triggered Israel's retaliatory attacks on Hamas in Gaza, which have killed more than 26,000 Palestinians, according to the territory's Hamas-run health ministry. The US, Germany and the EU are among some of UNRWA's biggest donors. The agency says it is struggling to get humanitarian aid to many of the estimated 1.7 million people - nearly three-quarters of the population - displaced by 12 weeks of fighting.
The agency says it is struggling to get humanitarian aid to many of the estimated 1.7 million people - nearly three-quarters of the population - displaced by 12 weeks of fighting. A number of UN facilities where Gazans had taken shelter have been hit in Israeli air strikes. On Wednesday, 12 people were killed when a UN shelter was struck in Khan Younis in southern Gaza. Correction 13th February: This article wrongly reported that about 1,300 people had been killed following the 7th October attack by Hamas.</x:v>
      </x:c>
      <x:c r="E21" s="16" t="str"/>
      <x:c r="F21" s="18" t="str">
        <x:v>y</x:v>
      </x:c>
      <x:c r="G21" s="18" t="str">
        <x:v>text_only</x:v>
      </x:c>
      <x:c r="H21" s="16" t="str">
        <x:v>Evidence quotes the UN calling the humanitarian situation in Gaza appalling.</x:v>
      </x:c>
    </x:row>
    <x:row r="22" ht="72" customHeight="1">
      <x:c r="A22" s="16" t="str">
        <x:v>352a4367ac96f0a5</x:v>
      </x:c>
      <x:c r="B22" s="16" t="str">
        <x:v>What did United Airlines find during inspections of the Boeing 737 Max 9?</x:v>
      </x:c>
      <x:c r="C22" s="16" t="str">
        <x:v>The door-plug incident led to emergency landings.</x:v>
      </x:c>
      <x:c r="D22"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[IMAGE 1: "The US aviation regulator grounds 737 Max 9s to conduct urgent checks after the incident in Oregon."]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[IMAGE 2: "It comes after part of the fuselage of an Alaska Airlines Boeing 737 Max 9 fell off, forcing an emergency landing."]
[3] US launches Boeing investigation after blowout - BBC News
Airline regulators in the US have formally launched an investigation of Boeing's processes, after a door plug blew off one of its planes. The Federal Aviation Administration (FAA) said it would examine whether Boeing failed to ensure its completed jets matched their approved design. The FAA had already grounded most of the 737 Max 9 fleet for inspection. The reviews after the emergency on the Alaska Airlines flight have uncovered issues such as loose bolts.
The incident has revived scrutiny of Boeing, which has been trying to repair its reputation after crashes in 2018 and 2019 involving a different version of the 737 Max plane killed 346 people. Its popular 737 Max planes were subsequently grounded globally for more than 18 months. It has reported a string of smaller issues as production resumed.
[IMAGE 3: "The Federal Aviation Administration will examine the jet-maker's processes after last Friday's emergency."]
[4]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[IMAGE 4: "The Alaska Airlines incident could have been much worse, but is still a major issue for the US plane-maker."]
[5]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[IMAGE 5: "The plane maker will allow independent assessments after a door plug fell from one of its aircraft."]</x:v>
      </x:c>
      <x:c r="E22" s="16" t="str"/>
      <x:c r="F22" s="18" t="str">
        <x:v>n</x:v>
      </x:c>
      <x:c r="G22" s="18" t="str">
        <x:v>unsupported</x:v>
      </x:c>
      <x:c r="H22" s="16" t="str">
        <x:v>Evidence describes one Alaska Airlines emergency landing, not multiple emergency landings.</x:v>
      </x:c>
    </x:row>
    <x:row r="23" ht="72" customHeight="1">
      <x:c r="A23" s="16" t="str">
        <x:v>b725a5adcbb7b517</x:v>
      </x:c>
      <x:c r="B23" s="16" t="str">
        <x:v>What did the RAC say about the motorway electric car charge point target?</x:v>
      </x:c>
      <x:c r="C23" s="16" t="str">
        <x:v>The RAC has emphasized that the government's charging-point target is crucial.</x:v>
      </x:c>
      <x:c r="D23" s="16" t="str">
        <x:v>[1] BT Group to turn old street cabinets into electric vehicle charging points - BBC News
BT hopes up to 60,000 could be converted, which would help tackle a shortfall in electric car chargers. The government's ambition is to increase the number of charging points from more than 50,000 today to 300,000 by 2030 but Zapmap figures show nearly a third of all UK charging points are currently in London. People have complained about the lack of charging ports in some areas and that some do not work or are unreliable. This pilot project by BT will explore how this solution could be scaled up to address the lack of chargers on UK roads, something that motoring groups have said is holding back Britain's electric car revolution.
"Harnessing existing street furniture is a great way to increase the number of public EV charging points without further adding to clutter along our footpaths," he said. "Making this even more valuable, many of these green street cabinets are located in residential areas across the UK, including smaller villages and towns, where charging infrastructure is most severely lacking." The Department for Transport told the BBC that they have committed "hundreds of millions of pounds to expand local charging across England." Their spokesperson said: "The number of public charge points is rising across the country - increasing by 44% since December 2022.
[IMAGE 1: "Up to 60,000 could be converted to tackle a shortfall in electric car charging points, the group says."]
[2] 20mph: Drakeford says confused drivers will not face 20mph fine - BBC News
"Where people deliberately break the law, where people drive well above 20mph in a 20mph zone, then the law will have to be enforced." He added: "I think if the police find somebody driving above 20mph and the reason is they are genuinely confused about that - I don't think in those circumstances of genuine confusion the police will move to enforcement. "If there are examples, genuine examples, where people just have misunderstood that this piece of road that they are on is now a 20mph limit, I think that will be resolved through the way that the police intend to respond. "But it would need to be genuine confusion, rather than just a claim to be confused."
South Wales Police and Crime Commissioner Alun Michael said "common sense will be applied". "It's not as if there's a will to make life difficult for drivers," he said. Mr Michael told BBC Radio Wales Breakfast that people who did not want it needed to recognise it was now law, and use their common sense in the way they drive. "This is now the law, let's make it work," Mr Michael said.
[IMAGE 2: "Enforcement of the Welsh government's flagship 20mph policy begins on Monday."]
[3] China’s BYD overtakes Tesla's electric car sales in last quarter of 2023 - BBC News
Last January, Mr Musk said that Tesla had the potential to achieve two million deliveries in 2023. The firm cut prices repeatedly to try to woo buyers. The milestone achieved by BYD is a reminder of the challenges facing the firm, which helped to launch the electric vehicle industry. "As BYD has accelerated into the fast lane, it's fresh evidence of just how competitive the EV market has become and how hard it will be for Tesla to swerve back to head the pack," said Susannah Streeter, head of money and markets at Hargreaves Lansdown.
Chinese company BYD sold more electric vehicles than Elon Musk's Tesla in the last three months of 2023 as the two battled for top spot in the sector. BYD said on Monday it had sold a record 526,000 battery-only vehicles in the final quarter of 2023. It marked the first quarter its battery-only sales have outpaced Tesla's. The US-based firm has seen demand slow as borrowing costs climb.
[IMAGE 3: "Electric-only deliveries from Chinese company BYD outpaced Elon Musk's Tesla for the first time."]
[4] Llanelli attempted kidnap: Man tried to drag woman into car - report - BBC News
The force added that its investigation had established the car drove along Hendre Road from Tan Y Graig Road. The police are appealing for information and encouraging local people to check CCTV and doorbell or dashcam footage for sightings of the car.
The car the man was driving is being sought by police A man tried to drag a woman into a car in an attempted kidnap, according to reports to police. They launched an investigation into the matter after they were contacted at about 23:45 GMT on Saturday. The force said the man approached the woman in a dark red or burgundy car as she walked from the British Royal Legion pub on Tan Y Graig Road, Llanelli, in Carmarthenshire.
[IMAGE 4: "The force said the the man asked her to get into the vehicle before grabbing her."]
[5] Young drivers face £3,000 cost for car insurance - BBC News
The association said the figures were based on the price customers paid for their cover rather than what they were quoted. Are you struggling with the cost of car insurance? Share your experiences by emailing haveyoursay@bbc.co.uk. Please include a contact number if you are willing to speak to a BBC journalist.
But he said with the price rises for 17-20-year-olds many young drivers would be looking at whether they can afford to drive at all. "The industry has to be careful not to push younger drivers into other modes of transport and that's a real risk when prices get this high," he said. The Association of British Insurers (ABI) said while car insurance could be expensive there were ways to bring costs down. It added that it was important that motorists never drove without cover and urged anyone struggling with costs to speak to their insurers.
[IMAGE 5: "Inflation and repairs have sent quotes soaring for younger motorists, according to data."]</x:v>
      </x:c>
      <x:c r="E23" s="16" t="str">
        <x:v>data/images/1bce062351592575.jpg|data/images/db72c77fd75f39eb.jpg|data/images/c8e5dcf663ea77f2.jpg|data/images/5968332585fc2388.jpg|data/images/b10eb65a88f11e83.jpg</x:v>
      </x:c>
      <x:c r="F23" s="18" t="str">
        <x:v>n</x:v>
      </x:c>
      <x:c r="G23" s="18" t="str">
        <x:v>unsupported</x:v>
      </x:c>
      <x:c r="H23" s="16" t="str">
        <x:v>The government target is present, but the evidence contains no RAC statement calling it crucial.</x:v>
      </x:c>
    </x:row>
    <x:row r="24" ht="72" customHeight="1">
      <x:c r="A24" s="16" t="str">
        <x:v>9c03b04bbf7e2426</x:v>
      </x:c>
      <x:c r="B24" s="16" t="str">
        <x:v>What significant event occurred 100 days after Hamas attacked Israel?</x:v>
      </x:c>
      <x:c r="C24" s="16" t="str">
        <x:v>The coverage reports that divisions exist within the Israeli government about potential rebuilding efforts in Gaza.</x:v>
      </x:c>
      <x:c r="D24" s="16" t="str">
        <x:v>[1] Israel: Woman killed, 17 hurt in suspected Palestinian car-ramming attack - BBC News
It is unclear how the attackers were stopped and arrested. Police say both suspects came from the West Bank city of Hebron and that they had both entered Israel illegally. There have been few reports of attacks in Israel since the war began on 7 October and Monday's incident will further increase the sense of anxiety among Israelis. The country is still in a state of shock after waves of Hamas gunmen burst through the border from Gaza and attacked Israeli communities, killing at least 1,200 people - mainly civilians - and taking about 240 others hostage 101 days ago.
Israel says 9,000 of those killed in Gaza were Hamas combatants. It has vowed to destroy the group and free the remaining hostages. Correction 13th February: This article wrongly reported that about 1,300 people had been killed following the 7th October attack by Hamas. This was based on counting those who later died from their injuries in addition to the figure of more than 1,200.
[2] More than 25,000 now killed in Gaza since Israel offensive began, Hamas-run health ministry says - BBC News
The White House has said the US and Israel "clearly see things differently" when it comes to a two-state solution. Israel began its offensive following the 7 October attack in which Hamas fighters killed about 1,200 people in southern Israel and took more than 240 hostage. In its first public account of the October assault, published on Sunday, Hamas described it as a "necessary step" against the Israeli occupation of the Palestinian territories and a way to secure the release of Palestinian prisoners. Israel's air and ground operation is currently focusing on southern Gaza, where the military are convinced top Hamas commanders are holed up in, or beneath, the city of Khan Younis.
US intelligence agencies reportedly estimate that the Israeli military has killed 20-30% of Hamas fighters, which falls far short of Mr Netanyahu's stated aim of "completely destroying" the armed group. The classified report is also said to have found that Hamas still has enough munitions to continue striking Israel and Israeli forces for months, raising the spectre of a prolonged war in which Israel could get bogged down. The apparent slow progress, the fact no top Hamas commander has yet been captured or killed, and the collective trauma over the 130 or so Israeli hostages still missing, is prompting growing anti-government anger in Israel. Protests are continuing by relatives of those still held by Hamas, calling for Mr Netanyahu to prioritise their release over the potentially impossible aim of destroying Hamas.
[3] Israel-Gaza war: The huge challenges facing Israel's 'day after' plan - BBC News
When Hamas attacked Israel, almost exactly three months ago, Israel was unprepared. It didn't see the attack coming, struggled to contain it at first and then launched a full-scale invasion of the Gaza Strip with only the bare bones of a plan: to destroy Hamas. Beyond that, there was a yawning vacuum. But that's beginning to change.
But for the hardliners, rebuilding Gaza and allowing the Palestinians to stay is merely storing up trouble. "We will go back to October the 7th, maybe in two years, five years, 10 years," says Ohad Tal, an MP from the hardline Religious Zionist Party. "Allowing money from the world to flood into Gaza to rebuild the houses basically means they will take all the money and as before, instead of building Gaza into a Singapore, they made it into the biggest terror nest in the world." The widely reported bust up in Thursday night's cabinet meeting, over the separate but related matter of when and how the Israeli military should examine the circumstances surrounding the 7 October attacks, was a powerful demonstration of the sharp divisions within Mr Netanyahu's government.
[4] Kerem Shalom crossing: Israeli protesters hold up aid trucks to Gaza - BBC News
Meanwhile, heavy fighting has continued in Gaza. Israeli military officials say warplanes have carried out dozens of raids on several Hamas targets around Khan Younis during the night. The Hamas-run health ministry says Israeli attacks in the past 24 hours have killed 183 people and injured nearly 400 others. Israel launched its military campaign with the declared aim of destroying Hamas after its gunmen killed 1,200 people - mostly civilians - and took about 250 others hostage, in the unprecedented attack on southern Israeli communities on 7 October last year.
Israel launched its military campaign with the declared aim of destroying Hamas after its gunmen killed 1,200 people - mostly civilians - and took about 250 others hostage, in the unprecedented attack on southern Israeli communities on 7 October last year. Since then, health officials say more than 26,000 Palestinians have been killed in Gaza. Correction 13th February: This article wrongly reported that about 1,300 people had been killed following the 7th October attack by Hamas. This was based on counting those who later died from their injuries in addition to the figure of more than 1,200.
[5] Namibia criticises German support for Israel over ICJ genocide case - BBC News
"In view of Germany's history and the crime against humanity of the Holocaust, the government sees itself as particularly committed to the genocide convention," it said. It said Hamas - which attacked Israel on 7 October, triggering the current war - aimed to destroy Israel, which was acting in self defence. Hamas killed about 1,200 people, most of them civilians, and took about 240 others hostage on 7 October. Since then Israel has killed nearly 24,000 people, mostly children and women, in its retaliatory attacks on Gaza, according to the Hamas-run health ministry.
Pretoria's case included a litany of alleged Israeli offences, from the indiscriminate killing of Palestinian civilians to the wholesale destruction of Gaza's infrastructure. Israel has strongly rejected the allegation, calling it "baseless" and its legal team was scathing about South Africa's submission, arguing that if anyone was guilty of genocide, it was Hamas. Correction 13th February: This article wrongly reported that about 1,300 people had been killed following the 7th October attack by Hamas. This was based on counting those who later died from their injuries in addition to the figure of more than 1,200.</x:v>
      </x:c>
      <x:c r="E24" s="16" t="str"/>
      <x:c r="F24" s="18" t="str">
        <x:v>n</x:v>
      </x:c>
      <x:c r="G24" s="18" t="str">
        <x:v>unsupported</x:v>
      </x:c>
      <x:c r="H24" s="16" t="str">
        <x:v>The evidence separates a hardliner's rebuilding view from cabinet divisions over a military review; the claim conflates them.</x:v>
      </x:c>
    </x:row>
    <x:row r="25" ht="72" customHeight="1">
      <x:c r="A25" s="16" t="str">
        <x:v>db6ab8860adac70e</x:v>
      </x:c>
      <x:c r="B25" s="16" t="str">
        <x:v>What is the current status of the US Moon mission with the Peregrine lander?</x:v>
      </x:c>
      <x:c r="C25" s="16" t="str">
        <x:v>The mission is focused on preparations for future human presence.</x:v>
      </x:c>
      <x:c r="D25" s="16" t="str">
        <x:v>[1] Peregrine lander: Vulcan rocket launches US private Moon mission - BBC News
Astrobotic's robotic lander, called Peregrine, has been contracted by Nasa to carry five scientific instruments. These will study the Moon's surface environment ahead of human missions later this decade. Peregrine is part of a stampede of spacecraft that will attempt to put themselves on the lunar surface in 2024 - possibly as many as eight different projects, including from Japan and China. The 1.2-tonne Peregrine spacecraft is one of a clutch of US projects aiming to land in 2024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[IMAGE 1: "The Peregrine spacecraft leaves Earth, aiming to make the first US soft lunar-landing in 51 years."]
[2]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Statistically, it's proved very hard to put down softly on the lunar surface. Only about a half of all attempts have succeeded. Artwork: The hopper, Lev-1, (L) and the rolling, shape-shifting Sora-Q (R) Jaxa put its faith in new precision-navigation technologies.
[IMAGE 2: "The first image of the Slim spacecraft shows it to be in an awkward position on the lunar surface."]
[3]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Statistically, it's proven very hard to land on the Moon. Only about a half of all attempts have succeeded. Jaxa put its faith in new precision-navigation technologies. The lander's onboard computer used rapid image processing and crater mapping to avoid hazards to reach its touchdown point.
[IMAGE 3: "It becomes only the fifth country to soft-land on the Moon but power supply problems may hinder its mission."]
[4] European mission approved to detect cosmic ripples - BBC News
Esa's Science Programme Committee (SPC) selected Lisa as a candidate mission in 2017. Since then the agency's technical staff, with support from European industry and academia, have been studying whether the mission is actually feasible. A positive assessment has now allowed Esa delegations to formally "adopt" the project. The UK Space Agency has given its support although this has the reservation that a business case still needs to be made to His Majesty's Treasury.
A robot will place the mirrors on the optical benches in exactly the right place with the correct angle Lisa has already been in development for decades, and has gone through various ups and downs, not least with the participation of the Americans. They've been in and out, but are now fully back on board, and will bring important technologies, including the lasers. Esa's Science Programme Committee (SPC) selected Lisa as a candidate mission in 2017.
[IMAGE 4: "The Lisa project to detect gravitational waves will be one of the most complex ever space missions."]
[5] Ingenuity: Damage puts end to ground-breaking Mars helicopter mission - BBC News
Many will mourn the passing of the plucky chopper but its withdrawal from service has probably come at the right time, the BBC's science correspondent Jonathan Amos says. The Perseverance rover is about to undertake some long, fast drives as it seeks to climb up on to the rim of Jezero Crater. If still functional, Ingenuity would, in all likelihood, have struggled to keep up with Perseverance, or at the very least held up the rover's exploration.
"That remarkable helicopter flew higher and farther than we ever imagined and helped Nasa do what we do best - make the impossible, possible." Ingenuity reached the Red Planet in February 2021 by riding on the belly of the Perseverance rover. It was meant to be on a short technology demonstration to prove flight was possible in the ultra-thin Martian atmosphere. Ingenuity was only expected to fly perhaps four or five times
[IMAGE 5: "The first vehicle to achieve powered flight on another planet suffers rotor damage three years into tour."]</x:v>
      </x:c>
      <x:c r="E25" s="16" t="str">
        <x:v>data/images/d84d798ddea2e11b.jpg|data/images/017a1a70d95ffb85.jpg|data/images/c5b9aec74706a911.jpg|data/images/5a617f4ad4355df0.jpg|data/images/c09001839197a388.jpg</x:v>
      </x:c>
      <x:c r="F25" s="18" t="str">
        <x:v>y</x:v>
      </x:c>
      <x:c r="G25" s="18" t="str">
        <x:v>text_only</x:v>
      </x:c>
      <x:c r="H25" s="16" t="str">
        <x:v>Evidence says NASA's Peregrine payloads focus on preparations for later human presence on the lunar surface.</x:v>
      </x:c>
    </x:row>
    <x:row r="26" ht="72" customHeight="1">
      <x:c r="A26" s="16" t="str">
        <x:v>08e693b698f2f602</x:v>
      </x:c>
      <x:c r="B26" s="16" t="str">
        <x:v>What was revealed about a British national sentenced for spying in China?</x:v>
      </x:c>
      <x:c r="C26" s="16" t="str">
        <x:v>The British government has arranged consular visits following the arrest.</x:v>
      </x:c>
      <x:c r="D26" s="16" t="str">
        <x:v>[1] MI6 spy detained in China, authorities claim - BBC News
Chinese authorities say they have detained an individual alleged to be spying for Britain's foreign intelligence service, MI6. China's Ministry of State Security (MSS) said the individual was a foreigner and was trying to collect information inside the country. It is the latest arrest in a campaign by Chinese security to clamp down on foreign spying. The British government has not commented on the claims.
It said consular visits had been arranged following the arrest but did not say from which country. China has increasingly been publicising cases of alleged espionage by Western countries. Previous cases have focused on alleged activity by the US's Central Intelligence Agency (CIA) - so accusing Britain's MI6 is more unusual. Beijing has also launched public campaigns to raise awareness of foreign spying and calling on people to report any activity.
[IMAGE 1: "It is the latest arrest in a campaign by Chinese security to clamp down on alleged foreign spying."]
[2] Jimmy Lai: Hong Kong mogul pleads not guilty to national security crimes - BBC News
His landmark trial started on 18 December after a year-long delay and is expected to last for about 80 days. Mr Lai has been held in solitary confinement since December 2020, following his arrest for fraud and for his involvement in protests in the former British territory. He is a UK citizen and British Foreign Secretary David Cameron is among those who have called for his release. He is the most prominent person charged with violating the Beijing-backed National Security Law (NSL), which critics allege is being used to crack down on dissent.
Mr Lai, 76, is the most prominent person charged for violating the Beijing-backed National Security Law Hong Kong pro-democracy media mogul Jimmy Lai has pleaded not guilty to sedition and collusion with foreign forces in a landmark security trial. His case has sparked an international outcry and is widely seen as a test of Hong Kong's judicial independence. His landmark trial started on 18 December after a year-long delay and is expected to last for about 80 days.
[IMAGE 2: "Jimmy Lai pleads not guilty to breaching national security and colluding with foreign forces."]
[3] China warns citizens against 'exotic beauty' traps of foreign spies - BBC News
It added that Mr Li's "nightmare was far from over" even after he returned to China, as he was continuously coerced into providing the organisation with classified information. "In the end, Mr Li [was] completely reduced to a puppet at the mercy of the foreign intelligence group and has caused immeasurable harm to China's national security. the ministry said. It added that Mr Li had been arrested and will face a "rigorous trial".
The Ministry of State Security, which functions as China's intelligence and secret police agency, has increasingly been raising the alarm among citizens about the dangers of foreign spies. The ministry has also been making public the cases of people being arrested for espionage in China. Earlier this month, the ministry said Beijing had detained an individual alleged to be spying for Britain's foreign intelligence service, MI6. "I do not think honey traps are any more prevalent now than at other points in time.
[IMAGE 3: "Beijing cites story of Chinese man who fell prey to a honey trap by foreign spies."]
[4] How London hotel sting caught Swiss museum heist thieves - BBC News
"Please, any help would be great." China Guardian then tipped off the Met Police and undercover officers struck up a relationship with Mr Steel as part of a covert operation. His real name was David Lamming, they discovered, and his email address was connected to the Ahearnes. One officer, using the alias Paul, liaised with the gang and then agreed to meet Lamming to discuss a price for selling the stolen vase.
A leaflet from the Geneva museum was also retrieved. A circle had been drawn around the pictures of the stolen Ming Dynasty items. Wright and Nkhwa were each convicted in London of conspiracy to convert criminal property; they were sentenced to three years and 30 months' imprisonment respectively. Lamming changed his plea to guilty just before the trial began.
[IMAGE 4: "A vase stolen from Geneva was carried around London in a JD Sports bag as the gang looked to sell it on."]
[5] Gaza war creating a radicalisation moment, senior UK police officer says - BBC News
Senior officers also say the UK has a legal duty to support the work of the International Criminal Court, and coroners' inquests into the deaths of British nationals. The problem detectives face is that they might receive "dossiers" of evidence that war crimes have been committed, but no first or second-hand eye witness accounts. Information tends to come from law firms, non-government organisations such as charities, and "people in the middle of conflict". The counter-terrorism command is also dealing with an increased threat from hostile states, principally Russia, Iran and China.
The counter-terrorism command is also dealing with an increased threat from hostile states, principally Russia, Iran and China. In a recent case, an Austrian man, Magomed-Husejn Dovtaev, was jailed for three years after being spotted by security guards carrying out "hostile reconnaissance" on an Iranian media company in Chiswick, London, which had been threatened due to its reporting on Iran. Police are also concerned states targeting the UK are paying criminals to carry out their activities, because an organised crime gang may find it easier to operate across borders and move weapons than a spy. A new investigations team has been set up to counter hostile states, closely linked to the security and secret intelligence services, MI5 and MI6.
[IMAGE 5: "A senior police officer warns the conflict could push more people towards terrorism."]</x:v>
      </x:c>
      <x:c r="E26" s="16" t="str"/>
      <x:c r="F26" s="18" t="str">
        <x:v>n</x:v>
      </x:c>
      <x:c r="G26" s="18" t="str">
        <x:v>unsupported</x:v>
      </x:c>
      <x:c r="H26" s="16" t="str">
        <x:v>Evidence says visits were arranged but does not clearly attribute that action to the British government.</x:v>
      </x:c>
    </x:row>
    <x:row r="27" ht="72" customHeight="1">
      <x:c r="A27" s="16" t="str">
        <x:v>edf8da0912f76488</x:v>
      </x:c>
      <x:c r="B27" s="16" t="str">
        <x:v>What issues did Tesco face with their deliveries recently?</x:v>
      </x:c>
      <x:c r="C27" s="16" t="str">
        <x:v>Tesco is under pressure to raise wages for its workers.</x:v>
      </x:c>
      <x:c r="D27" s="16" t="str">
        <x:v>[1] Tesco and M&amp;S report strong Christmas sales - BBC News
Tesco said UK sales rose 6.8% over the six weeks to 6 January, and that it had also seen sales volumes growing. Its premium food products did well, with sales of its Finest range up by nearly 17% over the Christmas period. At the same time, Tesco said it had cut prices on nearly 2,700 products as it sought to head off competition from discount rivals such as Aldi and Lidl. The supermarket now expects its retail operating profits to hit £2.75bn for the full year, above its previous guidance range of £2.6bn to £2.7bn.
The supermarket now expects its retail operating profits to hit £2.75bn for the full year, above its previous guidance range of £2.6bn to £2.7bn. Tesco chief executive Ken Murphy said he was "cautiously optimistic" about consumer spending, given mortgage rates are beginning to fall and wages are growing. "So as long as we are in a full employment market I feel like we're in a period of relative stability," he said. On Tuesday, rival Sainsbury's reported an 8.6% increase in grocery sales over the six weeks to 6 January, helped by demand for festive food.
[2] Supermarkets' busy Christmas boosted by promotions, says Kantar - BBC News
In the battle for customers, Tesco, Sainsbury's, Aldi and Lidl all grew their market share. Sainsbury's reached its highest market share since December 2020 at 15.8%, pushing up its sales by 9.3%. Tesco now holds 27.6% of the market and grew its sales by 7.5%. "The traditional retailers always tend to do well in the run up to Christmas and this year was no exception," said Mr McKevitt.
Recent BBC research found the price of mince pies had risen by 25%, with bakers facing pressure from higher wage, packaging and production costs. Mr McKevitt said retailers used promotions to entice shoppers over the festive period with nearly a third of all the money spent on items with some kind of offer. Overall, the average household spent £28 more on groceries across the month than in December 2022, with the number of items bought up by 2%. In the battle for customers, Tesco, Sainsbury's, Aldi and Lidl all grew their market share.
[3] Retail sales fall at sharpest rate since Covid - BBC News
It meant that retail sales tumbled at the fastest rate since January 2021. The ONS said the amount of non-food products people bought in December fell by 3.9%, with department stores the worst hit. That compares to a 2.7% increase for non-food products in November. Food demand was also down at the end of the year, falling 3.1%.
While the fall was the biggest since January 2021, when further Covid restrictions were enforced, the actual volume of goods that people bought in December was the lowest since May 2020 when the country was in the first Covid lockdown. Supermarkets have been reporting strong sales over the Christmas period, although the value of their sales has been helped by rising prices over the past year. For non-food stores the pattern has been mixed. Fashion chain Next enjoyed strong sales, but JD Sports issued a profit warning after its trading was weaker then expected.
[4] Yemen: US shoots down missile from Houthi-run area fired towards warship - BBC News
The attacks have led major shipping companies to divert vessels away from the Red Sea, instead taking a longer route around southern Africa. This has already had an impact on the global economy - with shipping giant Maersk telling the BBC it was being felt "down to the end consumer". Tesla and Volvo Cars have suspended some of their car production, UK grocery giant Tesco has warned some prices may go up and Ikea has said supplies could be affected. The Houthi attacks have been "causing major disruption to a vital trade route and driving up commodity prices", UK Prime Minister Rishi Sunak has said.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[5] Sainsbury’s increases pay as supermarkets battle for staff - BBC News
Workers will also benefit from the increase a month earlier than the official rate comes into effect. The pay deal comes exactly a year after Sainsbury's gave its staff a pay bump to £11 an hour, partly in response to other supermarkets increasing wages. Since March last year, Aldi has paid its staff £11.40 an hour outside London and £12.85 inside the capital, while Britain's biggest grocer Tesco has been paying workers £11.02 an hour outside London since April and £11.95 in the capital. But the supermarkets will need to increase worker wages at least in line with the new minimum wage when it comes into effect this April.
But while employees welcome higher pay packets, some businesses see it as another hit to their margins, when running costs remain high. Kate Nicholls, chief executive of the industry body UK Hospitality, said when the government announced the minimum wage rise last year it served as "a reminder that although government announces it, it is businesses who deliver it and why it is so vital other action is taken to reduce tax and costs, particularly [business] rates". Lord Wolfson, chief executive of Next, said after the company's trading update on Thursday that its prices for customers "would've been moving down" if it had not been for its wage bill rising. However, the retail giant did say it expects its profits to be some £960m in 2024.</x:v>
      </x:c>
      <x:c r="E27" s="16" t="str"/>
      <x:c r="F27" s="18" t="str">
        <x:v>y</x:v>
      </x:c>
      <x:c r="G27" s="18" t="str">
        <x:v>text_only</x:v>
      </x:c>
      <x:c r="H27" s="16" t="str">
        <x:v>Evidence says supermarkets, including Tesco, must raise wages at least to the new minimum wage.</x:v>
      </x:c>
    </x:row>
    <x:row r="28" ht="72" customHeight="1">
      <x:c r="A28" s="16" t="str">
        <x:v>38240ab0f80deb71</x:v>
      </x:c>
      <x:c r="B28" s="16" t="str">
        <x:v>Why did Aditya Verma appear in a Spanish court?</x:v>
      </x:c>
      <x:c r="C28" s="16" t="str">
        <x:v>The trial took place at Spain's National Court.</x:v>
      </x:c>
      <x:c r="D28" s="16" t="str">
        <x:v>[1] British man acquitted over London-Spain flight bomb hoax - BBC News
Aditya Verma (R)'s one-day trial at Spain's National Court took place earlier this week A Spanish court has cleared a British man of public disorder, after he joked to friends about blowing up a flight from London Gatwick to Menorca. Aditya Verma admitted he told friends in July 2022: "On my way to blow up the plane. I'm a member of the Taliban."
was found that would lead one to believe it was a real threat". Mr Verma's trial, held at the National Court in the Spanish capital, took place on Monday - a year-and-a-half after the incident took place. The message he sent to friends, before boarding the plane, went on to be picked up by UK security services. They then flagged it to Spanish authorities while the easyJet plane was still in the air.
[2] Muhammad Yunus: Nobel laureate sentenced to jail in Bangladesh - BBC News
Ms Hasina said she welcomed international experts to assess the ongoing legal proceedings against Prof Yunus. It is not clear what led to the friction between Ms Hasina and Prof Yunus, but supporters of the economist said the government was attempting to discredit him because he once considered setting up a political party to rival the governing Awami League.
A court in Bangladesh has sentenced the Nobel laureate Muhammad Yunus to six months in jail for violating the country's labour laws. Prof Yunus' supporters say the case is politically motivated. The acclaimed economist and three colleagues from Grameen Telecom - one of the firms he founded - were found guilty of failing to create a welfare fund for their workers. All four deny any wrongdoing and have been granted bail pending appeals.
[3] Spanish football fan held in Tehran released, Iran says - BBC News
In the same statement on social media, the Iranian embassy in Spain said Mr Sánchez was the only Spanish national held in Iran. Ana Baneira Suarez, a Spanish activist who worked for a human rights NGO, was arrested in Tehran in November 2022 - but released the following February. Mr Sánchez started his trip in January, travelling across Europe, Turkey and Iraq • None Fan detained in Iran while hiking to World Cup
All contact from Mr Sánchez was lost as he neared the final leg of his trip. He was detained after visiting Mahsa Amini's grave, Spanish media report. Ms Amini died in custody after being arrested by morality police in Tehran for allegedly wearing her hijab "improperly". Her death sparked a wave of protests in Iran and beyond in 2022 - and many Iranians continue to defy a deadly crackdown by security forces.
[4] Adolfo Macías Villamar: Curfew in Ecuador after infamous gang leader 'Fito' vanishes from cell - BBC News
He was being held in the maximum security wing of a jail in Guayaquil. The emergency measures include the suspension of the right of assembly and a nightly curfew. They were announced in a decree issued by President Daniel Noboa, who took office less than two months ago as the second-youngest holder of the post in Ecuadorean history. He won the election after a campaign overshadowed by unprecedented levels of violence, including the assassination of another candidate, Fernando Villavicencio.
He won the election after a campaign overshadowed by unprecedented levels of violence, including the assassination of another candidate, Fernando Villavicencio. President Noboa said the emergency would allow the military and police to take control of the country's prisons at a national level. Los Choneros control much of the compound at La Regional prison, where Fito was being held. "These narco-terrorist groups intend to intimidate us and they think we will give in to their demands," the president said.
[5] La Kena: Notorious Mexican cartel leader captured - BBC News
Soon after the incident, another splinter cell of the Gulf Cartel, the Scorpions Group, were said to have apologised for the kidnapping and turned over five men it said were responsible. Since 2022, the Tamaulipas state government, where Matamoros is located, has had a 2,500,000 peso ($145,000; £115,000) reward for information leading to Vilano's arrest. He was also reportedly wanted by the US Drug Enforcement Administration (DEA).
The leader of a faction of the notorious Gulf Cartel in Mexico has been arrested, local media reports. José Alberto García Vilano, also known as La Kena or Ciclon 19, allegedly leads the violent Los Ciclones cell. His group is accused of kidnapping four US citizens in March last year, killing two of them. Vilano was reportedly captured in a shopping plaza in the city of Monterrey, after information about his whereabouts was leaked to officials.</x:v>
      </x:c>
      <x:c r="E28" s="16" t="str"/>
      <x:c r="F28" s="18" t="str">
        <x:v>y</x:v>
      </x:c>
      <x:c r="G28" s="18" t="str">
        <x:v>text_only</x:v>
      </x:c>
      <x:c r="H28" s="16" t="str">
        <x:v>Evidence explicitly locates the trial at Spain's National Court.</x:v>
      </x:c>
    </x:row>
    <x:row r="29" ht="72" customHeight="1">
      <x:c r="A29" s="16" t="str">
        <x:v>ac2e39ad7ec14511</x:v>
      </x:c>
      <x:c r="B29" s="16" t="str">
        <x:v>Who did Luke Littler defeat to reach the World Darts Championship final?</x:v>
      </x:c>
      <x:c r="C29" s="16" t="str">
        <x:v>Luke Littler defeated Rob Cross in the semi-finals.</x:v>
      </x:c>
      <x:c r="D29" s="16" t="str">
        <x:v>[1] Luke Littler: Teenager in PDC World Darts Championship final against Luke Humphries - BBC Sport
Luke Littler has already earned £200,000 for his run to the final You can follow live coverage of the PDC World Darts Championship final in a text commentary on the BBC Sport website from 19:30 GMT on Wednesday, 3 January. Luke Littler began his PDC World Darts Championship debut hoping simply "to win one game" but now the 16-year-old sensation will face Luke Humphries on Wednesday evening in what is anticipated to be the most-watched final in the tournament's 31-year history. In polishing off his latest remarkable victory at Alexandra Palace - this time stunning former champion Rob Cross - Littler became the youngest person to reach the title decider.
In polishing off his latest remarkable victory at Alexandra Palace - this time stunning former champion Rob Cross - Littler became the youngest person to reach the title decider. And his meteoric rise has transcended the sport to an extent that his semi-final match set a Sky tournament viewing record, with a peak audience of 2.32 million, comfortably surpassing the 2015 final (1.65 million). The record for a darts final is the 8.3 million who tuned in to watch qualifier Keith Deller win the 1983 title by beating favourite Eric Bristow in the now defunct BDO World Championship on the BBC. Littler, who began playing darts on a magnetic board when he was just 18 months old, entered this tournament ranked 164th in the world.
[IMAGE 1: "Having set out to win one game on his PDC World Darts Championship debut, 16-year-old Luke Littler bids for a historic title triumph against Luke Humphries on Wednesday."]
[2] Bahrain Masters: Luke Littler beats Michael van Gerwen in final - BBC Sport
Teenager Luke Littler continued his stunning rise by beating Michael van Gerwen 8-5 to win the Bahrain Masters. It is Littler's first PDC senior title after coming up short against Luke Humphries in the World Championship final earlier this month. Littler, 16, earlier threw a nine-darter in the first leg of his quarter-final victory over Nathan Aspinall. "No-one believes me but I hadn't thrown a dart since the world final until yesterday," Littler told ITV4.
England's Littler broke Dutch three-time world champion Van Gerwen in legs eight and 12. He saw off Hong Kong's Man Lok Leung 6-3 in his opening match on Thursday before beating Aspinall 6-3 and Gerwyn Price 7-3 on Friday to reach the final. In beating Aspinall, Price and Van Gerwen, he recorded victories over three of the world's top five ranked players to claim the title. Littler also became the youngest person to make a nine-darter - scoring 501 with the minimum number of darts required - on live television and is only the second player to achieve the feat in the World Series, which started in 2013, after 16-time world champion Phil Taylor.
[IMAGE 2: "World Championship runner-up Luke Littler, 16, beats Michael van Gerwen to win the Bahrain Masters - his first PDC senior title."]
[3] Luke Littler v Brendan Dolan: Teenager 'daring to dream' of World Championship glory - BBC Sport
Luke Littler (left) used to imitate his idol Raymond van Barneveld's arms-outstretched celebration aged three Like most 16-year-olds in England, Luke Littler began 2023 preparing for his summer GCSE exams. A year on and he is three victories from becoming the youngest winner of the PDC World Darts Championship. A fairytale run to the quarter-finals, including a dazzling win over childhood idol Raymond van Barneveld, has taken him from relative obscurity to sporting stardom - and he is ready for more.
His average of 106.2 in his 3-0 first-round win against Dutchman Christian Kist was the highest achieved by a tournament debutant. The next day, UK Open champion Andrew Gilding was dispatched 3-1, before Canada's Matt Campbell was beaten 4-1 to set up a last-16 match with five-time world champion Van Barneveld. The Dutchman, 40 years Littler's senior, was the youngster's idol growing up, but he showed no sign of being overawed as he breezed past the veteran 4-1. "My game can be better than anyone's on the day and I have shown it there against one of the greatest who have graced that stage," added Littler.
[IMAGE 3: "Luke Littler says he is "daring to dream" of winning the PDC World Darts Championship as the 16-year-old prepares to face Northern Ireland's Brendan Dolan in the quarter-finals."]
[4] Bahrain Masters: Teenage sensation Luke Littler claims 6-3 win on World Series of Darts debut - BBC Sport
Luke Littler has climbed 133 places in the world rankings in the last month after his exploits at Alexandra Palace Teenage sensation Luke Littler beat Hong Kong's Man Lok Leung 6-3 on his highly anticipated World Series of Darts debut at the Bahrain Masters. Littler, who turns 17 in three days, was the youngest PDC World Championship finalist earlier in January. He faces fellow Englishman Nathan Aspinall in the last eight, after the World Matchplay champion edged past the Philippines' Lourence Ilagan 6-5.
The quarter-finals, semi-finals, and final are all scheduled to take place on Friday. Littler, who has had some time off since his exploits at Alexandra Palace, missed three attempts at double five in the first leg as he went 2-0 down. However, he then reeled off five consecutive legs before sealing his victory against the world number 126. Meanwhile, new world champion Luke Humphries extended his 19-match winning run with a resounding 6-0 victory over the host nation's Abdulla Saeed.
[IMAGE 4: "Teenage sensation Luke Littler beat Hong Kong's Man Lok Leung 6-3 on his highly anticipated World Series of Darts debut at the Bahrain Masters."]
[5] Luke Littler v Rob Cross: Teenager confident of winning PDC World Darts Championship - BBC Sport
For Luke Littler, the darts-mad 16-year-old who first played on a magnetic board as a toddler, just winning one match at the PDC World Championship was a historic achievement. But with each passing win he keeps setting his heights ever higher. And after sweeping past Brendan Dolan to set up a semi-final against Rob Cross on Tuesday, Littler now has his eyes on the biggest prize of all. "It's going to take a lot to stop me," he said.
Standing between Littler and a place in the final is world number eight Cross, who made history himself by becoming the first player to fight back from 4-0 to beat Chris Dobey 5-4 in his quarter-final. Cross won the World Championship on his debut in 2018 and thinks Littler has similar momentum behind him now. "Everyone loves an underdog story," Cross said. "It took a bit of pressure off me winning it first time as well.
[IMAGE 5: "Teenager Luke Littler says he has what it takes to win the PDC World Championship as he prepares for a semi-final against Rob Cross."]</x:v>
      </x:c>
      <x:c r="E29" s="16" t="str"/>
      <x:c r="F29" s="18" t="str">
        <x:v>y</x:v>
      </x:c>
      <x:c r="G29" s="18" t="str">
        <x:v>text_only</x:v>
      </x:c>
      <x:c r="H29" s="16" t="str">
        <x:v>Evidence says Littler beat Rob Cross to become the youngest person to reach the final.</x:v>
      </x:c>
    </x:row>
    <x:row r="30" ht="72" customHeight="1">
      <x:c r="A30" s="16" t="str">
        <x:v>ec48219def0183bb</x:v>
      </x:c>
      <x:c r="B30" s="16" t="str">
        <x:v>What efforts are being made for aid in Gaza?</x:v>
      </x:c>
      <x:c r="C30" s="16" t="str">
        <x:v>Qatar and France brokered a deal to increase the flow of humanitarian supplies into Gaza.</x:v>
      </x:c>
      <x:c r="D30" s="16" t="str">
        <x:v>[1]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[IMAGE 1: "A senior United Nations official tells the BBC that civilians may have no choice but to leave entirely."]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[IMAGE 2: "Under the deal, brokered by Qatar and France, new aid is to reach both Gaza civilians and Israeli hostages."]
[3] Palestinians tell of fears for the future as war destroys Gaza - BBC News
Israel says its air and ground operation in Gaza is aimed at destroying Hamas. The majority of Gaza's 2.3 million people are displaced and fight daily to find food, drink and medicine. Mohammed al-Khaldi, a father of two children displaced from Gaza City, told the BBC: "I lost my home, my shop and my source of income. I am no longer able to provide the simplest requirements of life for my children.
I am no longer able to provide the simplest requirements of life for my children. "I hold the Israeli occupation responsible for the massive destruction, but I do not absolve Hamas of responsibility for everything that happened," he said. Hamas is the Palestinian group which has run Gaza since 2007. Its military wing, the Izzedine al-Qassam Brigades, was thought to have about 30,000 members before the 7 October attack.
[IMAGE 3: "Palestinians in Gaza scramble to survive Israeli attacks and secure basics as they fear a return to Hamas rule, too."]
[4] Intense Israeli strikes in south Gaza city as hostages sent medicine - BBC News
The UN says that the war has displaced around 85% of Gaza's 2.3 million people, many of whom have been forced to cram into shelters and are struggling to get basic supplies. In a joint statement, a number of UN special rapporteurs said: "Currently every single person in Gaza is hungry, a quarter of the population are starving and struggling to find food and drinkable water, and famine is imminent." Israel's Defence Minister, Yoav Gallant, has said that the intense stage of Israel's military operations against Hamas would "soon" wind down in the south of Gaza, including Khan Younis, where it is thought local leaders of the armed group may be hiding. He said that the military had already switched to more targeted action in the north, where it began its ground offensive.
We carried a few blankets and walked for 5km (3.1 miles) to reach the entrance to the city of Rafah, and now we are in the street, not knowing where to go." On Wednesday the Jordanian army said its military field hospital in Khan Younis had been badly damaged as a result of Israeli shelling in the area. The Jordanian army said it held Israel responsible for a "flagrant breach of international law". The UN says that the war has displaced around 85% of Gaza's 2.3 million people, many of whom have been forced to cram into shelters and are struggling to get basic supplies.
[IMAGE 4: "Khan Younis residents report intense fighting, as Qatar says Hamas will give medicines to hostages."]
[5]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[IMAGE 5: "The US plan sees diplomatic normalisation with Arab neighbours if Israel ends its offensive."]</x:v>
      </x:c>
      <x:c r="E30" s="16" t="str">
        <x:v>data/images/e83342dba7264808.jpg|data/images/5b35e8b9809839cd.jpg|data/images/2f8b80d899b17246.jpg|data/images/9df4118168d7d7c3.jpg|data/images/8b12b93d6a9c81ec.jpg</x:v>
      </x:c>
      <x:c r="F30" s="18" t="str">
        <x:v>y</x:v>
      </x:c>
      <x:c r="G30" s="18" t="str">
        <x:v>text_only</x:v>
      </x:c>
      <x:c r="H30" s="16" t="str">
        <x:v>Evidence links the Qatar–France deal to more basic and humanitarian supplies entering Gaza.</x:v>
      </x:c>
    </x:row>
    <x:row r="31" ht="72" customHeight="1">
      <x:c r="A31" s="16" t="str">
        <x:v>284a504f02d14162</x:v>
      </x:c>
      <x:c r="B31" s="16" t="str">
        <x:v>What efforts are being made for aid in Gaza?</x:v>
      </x:c>
      <x:c r="C31" s="16" t="str">
        <x:v>The humanitarian situation in Gaza is severe.</x:v>
      </x:c>
      <x:c r="D31" s="16" t="str">
        <x:v>[1]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[IMAGE 1: "A senior United Nations official tells the BBC that civilians may have no choice but to leave entirely."]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[IMAGE 2: "Under the deal, brokered by Qatar and France, new aid is to reach both Gaza civilians and Israeli hostages."]
[3] Palestinians tell of fears for the future as war destroys Gaza - BBC News
Israel says its air and ground operation in Gaza is aimed at destroying Hamas. The majority of Gaza's 2.3 million people are displaced and fight daily to find food, drink and medicine. Mohammed al-Khaldi, a father of two children displaced from Gaza City, told the BBC: "I lost my home, my shop and my source of income. I am no longer able to provide the simplest requirements of life for my children.
I am no longer able to provide the simplest requirements of life for my children. "I hold the Israeli occupation responsible for the massive destruction, but I do not absolve Hamas of responsibility for everything that happened," he said. Hamas is the Palestinian group which has run Gaza since 2007. Its military wing, the Izzedine al-Qassam Brigades, was thought to have about 30,000 members before the 7 October attack.
[IMAGE 3: "Palestinians in Gaza scramble to survive Israeli attacks and secure basics as they fear a return to Hamas rule, too."]
[4] Intense Israeli strikes in south Gaza city as hostages sent medicine - BBC News
The UN says that the war has displaced around 85% of Gaza's 2.3 million people, many of whom have been forced to cram into shelters and are struggling to get basic supplies. In a joint statement, a number of UN special rapporteurs said: "Currently every single person in Gaza is hungry, a quarter of the population are starving and struggling to find food and drinkable water, and famine is imminent." Israel's Defence Minister, Yoav Gallant, has said that the intense stage of Israel's military operations against Hamas would "soon" wind down in the south of Gaza, including Khan Younis, where it is thought local leaders of the armed group may be hiding. He said that the military had already switched to more targeted action in the north, where it began its ground offensive.
We carried a few blankets and walked for 5km (3.1 miles) to reach the entrance to the city of Rafah, and now we are in the street, not knowing where to go." On Wednesday the Jordanian army said its military field hospital in Khan Younis had been badly damaged as a result of Israeli shelling in the area. The Jordanian army said it held Israel responsible for a "flagrant breach of international law". The UN says that the war has displaced around 85% of Gaza's 2.3 million people, many of whom have been forced to cram into shelters and are struggling to get basic supplies.
[IMAGE 4: "Khan Younis residents report intense fighting, as Qatar says Hamas will give medicines to hostages."]
[5]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[IMAGE 5: "The US plan sees diplomatic normalisation with Arab neighbours if Israel ends its offensive."]</x:v>
      </x:c>
      <x:c r="E31" s="16" t="str">
        <x:v>data/images/e83342dba7264808.jpg|data/images/5b35e8b9809839cd.jpg|data/images/2f8b80d899b17246.jpg|data/images/9df4118168d7d7c3.jpg|data/images/8b12b93d6a9c81ec.jpg</x:v>
      </x:c>
      <x:c r="F31" s="18" t="str">
        <x:v>y</x:v>
      </x:c>
      <x:c r="G31" s="18" t="str">
        <x:v>both</x:v>
      </x:c>
      <x:c r="H31" s="16" t="str">
        <x:v>Text describes severe shortages and displacement; supplied images independently show tents, rubble, and widespread damage.</x:v>
      </x:c>
    </x:row>
    <x:row r="32" ht="72" customHeight="1">
      <x:c r="A32" s="16" t="str">
        <x:v>3bbf8770d86ddc33</x:v>
      </x:c>
      <x:c r="B32" s="16" t="str">
        <x:v>What was Sarah Ferguson's reaction to her skin cancer diagnosis?</x:v>
      </x:c>
      <x:c r="C32" s="16" t="str">
        <x:v>A spokesman said that further investigations will be conducted.</x:v>
      </x:c>
      <x:c r="D32" s="16" t="str">
        <x:v>[1] King Charles 'doing well' after prostate treatment - BBC News
There was a third royal health story this week, when it was revealed that Sarah Ferguson, the Duchess of York, had been diagnosed with malignant melanoma, a form of skin cancer. It had been discovered during treatment for her breast cancer, which had been diagnosed last summer. "Naturally another cancer diagnosis has been a shock, but I'm in good spirits and grateful for the many messages of love and support," said the duchess, who was formerly married to Prince Andrew. A spokesman for the duchess said she will have further investigations to ensure the melanoma has been caught in the early stages.
The King and the Princess of Wales are being treated in the London Clinic When she leaves the hospital it is expected that she will spend several months recuperating at home in Windsor. It means the princess will not be taking part in any official duties until after Easter. There was a third royal health story this week, when it was revealed that Sarah Ferguson, the Duchess of York, had been diagnosed with malignant melanoma, a form of skin cancer.
[IMAGE 1: "The King is recovering after having treatment on an enlarged prostate at a London hospital."]
[2] 'What my terminal cancer diagnosis taught me about life' - BBC News
I was naive, very naive." Megan has ocular melanoma, a type of eye cancer, that has spread to her liver Eighteen months ago Megan was given the devastating news that the cancer had spread to her liver and she had an estimated two years to live. "I think it is difficult for people because I don't look unwell," she said.
Megan, here with her partner Dimitar Kashchiev, says it can be difficult for people to understand her illness because she doesn't look unwell Megan and her partner Dimitar Kashchiev met in 2018. Less than a year into their relationship Megan was diagnosed with first stage ocular melanoma before being told it was terminal about 12 months later. "It almost felt like a punch in the gut because we were in a position where things were stabilising and we were considering and planning for the future," said Dimitar.
[IMAGE 2: "Megan McClay, 30, says nearing the end of her life has changed her perspective of what is important."]
[3] Cancer wait times should not keep getting worse, survivor says - BBC News
"For me, from when I first presented to A&amp;E to when I had surgery was less than three weeks so incredibly lucky, incredibly different to a lot of people's cases," she added. "While I had symptoms for years and years, once I got red-flagged I was progressed very quickly through the system and I was able to make a relatively full recovery." Six years after her diagnosis, Ms Scott takes medication daily to help manage the after-effects of her condition. She says some cancers are harder to spot than others - part of why they can be less survivable.
Within days, her liver was found to be functioning poorly and she was told to attend Londonderry's Altnagelvin Hospital. A large tumour was discovered and she was diagnosed with pancreatic cancer at the age of 27. "Two of my grandparents have passed due to pancreatic cancer - that was the only thing I knew about it," she told BBC News NI. "It was just one of those things where you get it, and as we all know if anyone's had pancreatic cancer, it's very serious and survival rates are low."
[IMAGE 3: "The latest cancer waiting time figures show continued delays in cancer waiting times."]
[4] Cancer survivors empowered by posing nude for calendar - BBC News
"All these ladies are survivors and they really knew what I was going through. I felt really lucky to have met them." Her feelings are echoed by Sylvia Armstrong, 54, who is a wig consultant and hairstylist from Prestatyn. She knew lots of women with cancer through her work, and then discovered she had breast cancer herself.
She knew lots of women with cancer through her work, and then discovered she had breast cancer herself. "My cancer was in Covid and I didn't have a lot of support," Sylvia said. "I thought (the calendar) would help me get over what I'd been through. "The best thing that's come from it apart from raising the money is the support we have from one another."
[IMAGE 4: "The women started off petrified but ended up like goddesses, the photographer says."]
[5] Faked tears and special audition codes - X Factor hopefuls and insiders speak out - BBC News
The audition - and Sarah's rejection - became a talked-about moment. Newspapers focused on her appearance and wrote scathing comments. Sarah says it all had a heavy impact on her mental health. She was even mocked in the streets: "I went into Asda, and there was a lady getting on her hands and knees and saying, 'Please, Simon, can I have some more?
"He judged me before I even started to sing," says Sarah. She was rejected by all three judges. Sarah Lowe says her appearance on The X Factor in 2005 left her feeling "ashamed" "I felt like my heart was going to explode, like, it broke me that much.
[IMAGE 5: "Hopefuls and staff lift the lid on what it was like backstage at the hugely successful show."]</x:v>
      </x:c>
      <x:c r="E32" s="16" t="str">
        <x:v>data/images/c7825377844578f6.jpg|data/images/e10cfe376fe5b4ff.jpg|data/images/481599d8ee944466.jpg|data/images/fc8d335a33ef2c8a.jpg|data/images/e671050b7d1f0a5b.jpg</x:v>
      </x:c>
      <x:c r="F32" s="18" t="str">
        <x:v>y</x:v>
      </x:c>
      <x:c r="G32" s="18" t="str">
        <x:v>text_only</x:v>
      </x:c>
      <x:c r="H32" s="16" t="str">
        <x:v>A spokesman explicitly said the duchess would have further investigations.</x:v>
      </x:c>
    </x:row>
    <x:row r="33" ht="72" customHeight="1">
      <x:c r="A33" s="16" t="str">
        <x:v>dfe8ef72bf4e132a</x:v>
      </x:c>
      <x:c r="B33" s="16" t="str">
        <x:v>What changes do northern business groups want for council tax bands?</x:v>
      </x:c>
      <x:c r="C33" s="16" t="str">
        <x:v>The push for reform reflects broader concern about the financial sustainability of local councils.</x:v>
      </x:c>
      <x:c r="D33" s="16" t="str">
        <x:v>[1] More than 40 Tory MPs call for extra council funding - BBC News
"There's no point cutting national taxes just to see everybody's council tax go up by the maximum," he said. It is understood council leaders are lobbying the government for an extra £750m to help ease pressure over the next year, although if any additional funding is agreed it is likely to be less than that. Talks have taken place in recent weeks which have been described as "constructive" but no final decisions have been taken. If no extra funding is made available for councils, Mr Sunak could find himself facing another Commons rebellion when it comes to a vote on the issue next month.
Mark Wakeling, the charity's chief executive, said: "It's pretty shocking. We think it's a time that resources need to be increased to the sector, not reduced. "People are being asked to choose between street lighting or homelessness or paying for car parks." The council is also looking at stopping funding for all community transport that it is not legally obliged to provide.
[IMAGE 1: "In a letter to the PM, the group warns of cuts to services without extra money for English councils."]
[2] ‘Bankrupt’ Birmingham council plans up to 600 job cuts - BBC News
The BBC recently revealed the council had asked the government for permission to raise council tax by up to 10% each year for the next two years. The council is due to set its budget next month. Do you work for the council or use the services? Will these job cuts affect you?
The council owes more than £2.9bn to lenders, placing it ahead of Leeds on £2.2bn and Woking on £1.9bn. However, council bosses said it is no surprise it was top of the list as it was the largest local authority in the country. A spokesperson for the council said: "We understand that this news will be unsettling, and I want to reassure you that we are here to support you through this process." The BBC recently revealed the council had asked the government for permission to raise council tax by up to 10% each year for the next two years.
[IMAGE 2: "Birmingham City Council is struggling to cope with a huge debt of more than £2.9bn."]
[3] Councils to get extra funding to tackle cash crisis - BBC News
Since 2020, finance bosses at seven councils have issued at least one Section 114 notice - in effect a declaration of bankruptcy - since 2020, with three doing so last year. The notices are an acknowledgment that a local authority cannot balance its books as required by law and lead to a freeze on non-essential spending on services. CCN chairman Councillor Tim Oliver welcomed the additional funding, saying it would "go some way to easing the pressures councils face, and in particular in addressing the escalating costs in delivering social care and home to school transport". But, he added, "service reductions will still be necessary for councils in some areas to balance their books, while the majority of councils will still have little choice but to propose maximum council tax rises".
He said local authorities would have to "produce productivity plans setting out how they will improve service performance and reduce wasteful expenditure to ensure every area is making best use of taxpayers' money". Mr Gove later told reporters the money the government was providing for councils was "not there for politically correct projects, it is there for frontline services, particularly for children who are in need". In December, the Department of Levelling Up, Housing and Communities (DLUHC) said the £64bn figure represented an above-inflation increase of 6.5%. But the settlement included council tax increases of up to 5%, meaning residents would pay more for everyday services.
[IMAGE 3: "Local authorities in England will share an additional £500m to help pay for child and adult social care."]
[4] Wales needs powers to set new tax rates, says Plaid Cymru - BBC News
Neither that, nor powers over tax bands, can be implemented without help from a larger party in Westminster. Currently the Welsh government can only vary the rates the UK government sets. That is unlike the the Scottish government, which has used powers to create new tax bands to adjust how much people pay according to how much they earn. Speaking at a news conference on Tuesday, Mr ap Iorwerth said: "What I'm saying is that we need to be able to target the people who can pay more, and to do so in a fair way, people who are on higher wages."
"Creating a fair society should be an ambition for all of us, collectively," he said. "We shouldn't rest until we can look around our communities and see that no-one is being left behind." Andrew RT Davies, Welsh Conservative Senedd leader, said: "Plaid Cymru has borrowed the Scottish nationalist playbook on taxation, and the outcome will be higher taxes for the poorest in Wales. "As we have seen in Scotland, people on higher wages will consider leaving if tax rates aren't competitive with other parts of the UK, and the outcome will be a higher tax burden on the lowest earners."
[IMAGE 4: "Leader Rhun ap Iorwerth says those who earn more should pay more income tax."]
[5] Port Talbot: Tata Steel would have left UK without aid - Welsh secretary - BBC News
"We will begin discussions with our trade union partners and we will work hard to carry out any changes in a responsible manner," it added. The UK government said it would ensure a "broad range of support for any staff who are affected by the transition, working with the Welsh government and Tata Steel to establish a dedicated transition board to support both affected employees and the local economy with up to £100m funding".
The UK government said it would ensure a "broad range of support for any staff who are affected by the transition" On Friday, Tata Steel managing director T.V. Narendran told BBC Wales Today that the Port Talbot plant was "bleeding" up to £1.5m a day and some assets were coming to the end of their life which the business was "not able to support". "We were reaching a point where we had to make a call and I think we've been public about that. "We said that, a few months back, that we probably have a year left to decide one way or the other.
[IMAGE 5: "A £500m UK government pledge saved Port Talbot's steelworks from closure, Welsh secretary says."]</x:v>
      </x:c>
      <x:c r="E33" s="16" t="str">
        <x:v>data/images/8bd697c5e72a9a83.jpg|data/images/7389ec150b0b51fb.jpg|data/images/ec188e392d7d2811.jpg|data/images/fd184f9617755b56.jpg|data/images/b03552d45e0f95d9.jpg</x:v>
      </x:c>
      <x:c r="F33" s="18" t="str">
        <x:v>n</x:v>
      </x:c>
      <x:c r="G33" s="18" t="str">
        <x:v>unsupported</x:v>
      </x:c>
      <x:c r="H33" s="16" t="str">
        <x:v>Council financial distress and Welsh tax reform appear in separate articles with no stated causal connection.</x:v>
      </x:c>
    </x:row>
    <x:row r="34" ht="72" customHeight="1">
      <x:c r="A34" s="16" t="str">
        <x:v>e27514b26f1b2480</x:v>
      </x:c>
      <x:c r="B34" s="16" t="str">
        <x:v>What significant event occurred 100 days after Hamas attacked Israel?</x:v>
      </x:c>
      <x:c r="C34" s="16" t="str">
        <x:v>The coverage reports that Israel has conducted extensive military operations in Gaza in response to the attack.</x:v>
      </x:c>
      <x:c r="D34" s="16" t="str">
        <x:v>[1] Israel: Woman killed, 17 hurt in suspected Palestinian car-ramming attack - BBC News
It is unclear how the attackers were stopped and arrested. Police say both suspects came from the West Bank city of Hebron and that they had both entered Israel illegally. There have been few reports of attacks in Israel since the war began on 7 October and Monday's incident will further increase the sense of anxiety among Israelis. The country is still in a state of shock after waves of Hamas gunmen burst through the border from Gaza and attacked Israeli communities, killing at least 1,200 people - mainly civilians - and taking about 240 others hostage 101 days ago.
Israel says 9,000 of those killed in Gaza were Hamas combatants. It has vowed to destroy the group and free the remaining hostages. Correction 13th February: This article wrongly reported that about 1,300 people had been killed following the 7th October attack by Hamas. This was based on counting those who later died from their injuries in addition to the figure of more than 1,200.
[IMAGE 1: "Two Palestinians are arrested after several cars are used in what police say was a terrorist attack."]
[2] More than 25,000 now killed in Gaza since Israel offensive began, Hamas-run health ministry says - BBC News
The White House has said the US and Israel "clearly see things differently" when it comes to a two-state solution. Israel began its offensive following the 7 October attack in which Hamas fighters killed about 1,200 people in southern Israel and took more than 240 hostage. In its first public account of the October assault, published on Sunday, Hamas described it as a "necessary step" against the Israeli occupation of the Palestinian territories and a way to secure the release of Palestinian prisoners. Israel's air and ground operation is currently focusing on southern Gaza, where the military are convinced top Hamas commanders are holed up in, or beneath, the city of Khan Younis.
US intelligence agencies reportedly estimate that the Israeli military has killed 20-30% of Hamas fighters, which falls far short of Mr Netanyahu's stated aim of "completely destroying" the armed group. The classified report is also said to have found that Hamas still has enough munitions to continue striking Israel and Israeli forces for months, raising the spectre of a prolonged war in which Israel could get bogged down. The apparent slow progress, the fact no top Hamas commander has yet been captured or killed, and the collective trauma over the 130 or so Israeli hostages still missing, is prompting growing anti-government anger in Israel. Protests are continuing by relatives of those still held by Hamas, calling for Mr Netanyahu to prioritise their release over the potentially impossible aim of destroying Hamas.
[IMAGE 2: "The grim milestone comes as Israel presses its war in Gaza and rejects calls for a Palestinian state."]
[3] 'Deep concern' for patients and staff at Gaza's al-Aqsa hospital - BBC News
"The offensive in these areas results in the killing and injury of many people and having devastating consequences for tens of thousands of civilians, many of whom had already fled for safety from Gaza City and the north to central and southern Gaza," it warned. Israel says it is carrying out military operations in Gaza to "eradicate" Hamas and rescue hostages taken by the group. It says it tries to avoid harm to civilians and blames Hamas for embedding fighters among them. The war was triggered by an unprecedented cross-border attack by Hamas gunmen on southern Israel on 7 October, in which about 1,200 people were killed - most of them civilians - and about 240 others taken hostage.
The war was triggered by an unprecedented cross-border attack by Hamas gunmen on southern Israel on 7 October, in which about 1,200 people were killed - most of them civilians - and about 240 others taken hostage. More than 23,350 people have been killed in Gaza - mostly children and women - during the 13 weeks of fighting since then, according to the Hamas-run health ministry. Correction 13th February: This article wrongly reported that about 1,300 people had been killed following the 7th October attack by Hamas. This was based on counting those who later died from their injuries in addition to the figure of more than 1,200.
[IMAGE 3: "Three UK doctors who worked at al-Aqsa hospital warn of a "disaster" as fighting nearby intensifies."]
[4] Israel says war in Gaza expected to continue throughout 2024 - BBC News
The figures included 156 people killed and 246 injured in the last 24 hours, the ministry added. The latest war was triggered by an unprecedented cross-border attack by Hamas gunmen on southern Israel on 7 October, in which 1,200 people were killed - most of them civilians - and about 240 others taken hostage. Israel continued its bombardment of Gaza up until the end of what has been a dark year in the region. The IDF said it killed a senior Hamas commander involved in the 7 October attack, Adil Mismah, in an overnight strike on the town of Deir al-Balah.
Hamas's military wing, the Ezzedine al-Qassam Brigades, said in a video posted on social media that it carried out both attacks. They said M90 rockets were used in "response to the massacres of civilians" perpetrated by Israel.
[IMAGE 4: "In a new year message, Israel's military says it expects fighting in Gaza for the rest of the year."]
[5] Iran warns air strike on Syria will not go unanswered - BBC News
The Middle East has been on heightened alert since 7 October, when Hamas launched an attack on southern Israel, killing about 1,200 people, mainly civilians, and taking 240 hostages back to Gaza. More than 132 hostages are thought to still be held in the territory. More than 24,900 people have been killed in Gaza since Israel launched its military response, according to the Hamas-run health ministry. Israel says its ground and air operation in Gaza is aimed at destroying Hamas.
"The sound was similar to a missile explosion, and minutes later I heard the sound of ambulances," he added. Videos, which the BBC has not verified, showed a large cloud of smoke and buildings destroyed. Last month a suspected Israeli air strike just outside Damascus killed a senior IRGC commander. The Middle East has been on heightened alert since 7 October, when Hamas launched an attack on southern Israel, killing about 1,200 people, mainly civilians, and taking 240 hostages back to Gaza.
[IMAGE 5: "Iran's president blames Israel for the strike in the Syrian capital which killed five senior advisers."]</x:v>
      </x:c>
      <x:c r="E34" s="16" t="str">
        <x:v>data/images/926d6e89c92eae77.jpg|data/images/f59a9727d9639290.jpg|data/images/aaf9f9255edacf2d.jpg|data/images/2f46d15a85d64531.jpg|data/images/9ea3476a7d2bcfc5.jpg</x:v>
      </x:c>
      <x:c r="F34" s="18" t="str">
        <x:v>y</x:v>
      </x:c>
      <x:c r="G34" s="18" t="str">
        <x:v>both</x:v>
      </x:c>
      <x:c r="H34" s="16" t="str">
        <x:v>Text describes Israel's air-and-ground military response; supplied images independently show troops operating in heavily damaged Gaza.</x:v>
      </x:c>
    </x:row>
    <x:row r="35" ht="72" customHeight="1">
      <x:c r="A35" s="16" t="str">
        <x:v>b11df52bdc7cac3e</x:v>
      </x:c>
      <x:c r="B35" s="16" t="str">
        <x:v>What issues did Tesco face with their deliveries recently?</x:v>
      </x:c>
      <x:c r="C35" s="16" t="str">
        <x:v>Tesco has warned that some prices may increase.</x:v>
      </x:c>
      <x:c r="D35" s="16" t="str">
        <x:v>[1] Tesco and M&amp;S report strong Christmas sales - BBC News
Tesco said UK sales rose 6.8% over the six weeks to 6 January, and that it had also seen sales volumes growing. Its premium food products did well, with sales of its Finest range up by nearly 17% over the Christmas period. At the same time, Tesco said it had cut prices on nearly 2,700 products as it sought to head off competition from discount rivals such as Aldi and Lidl. The supermarket now expects its retail operating profits to hit £2.75bn for the full year, above its previous guidance range of £2.6bn to £2.7bn.
The supermarket now expects its retail operating profits to hit £2.75bn for the full year, above its previous guidance range of £2.6bn to £2.7bn. Tesco chief executive Ken Murphy said he was "cautiously optimistic" about consumer spending, given mortgage rates are beginning to fall and wages are growing. "So as long as we are in a full employment market I feel like we're in a period of relative stability," he said. On Tuesday, rival Sainsbury's reported an 8.6% increase in grocery sales over the six weeks to 6 January, helped by demand for festive food.
[2] Supermarkets' busy Christmas boosted by promotions, says Kantar - BBC News
In the battle for customers, Tesco, Sainsbury's, Aldi and Lidl all grew their market share. Sainsbury's reached its highest market share since December 2020 at 15.8%, pushing up its sales by 9.3%. Tesco now holds 27.6% of the market and grew its sales by 7.5%. "The traditional retailers always tend to do well in the run up to Christmas and this year was no exception," said Mr McKevitt.
Recent BBC research found the price of mince pies had risen by 25%, with bakers facing pressure from higher wage, packaging and production costs. Mr McKevitt said retailers used promotions to entice shoppers over the festive period with nearly a third of all the money spent on items with some kind of offer. Overall, the average household spent £28 more on groceries across the month than in December 2022, with the number of items bought up by 2%. In the battle for customers, Tesco, Sainsbury's, Aldi and Lidl all grew their market share.
[3] Retail sales fall at sharpest rate since Covid - BBC News
It meant that retail sales tumbled at the fastest rate since January 2021. The ONS said the amount of non-food products people bought in December fell by 3.9%, with department stores the worst hit. That compares to a 2.7% increase for non-food products in November. Food demand was also down at the end of the year, falling 3.1%.
While the fall was the biggest since January 2021, when further Covid restrictions were enforced, the actual volume of goods that people bought in December was the lowest since May 2020 when the country was in the first Covid lockdown. Supermarkets have been reporting strong sales over the Christmas period, although the value of their sales has been helped by rising prices over the past year. For non-food stores the pattern has been mixed. Fashion chain Next enjoyed strong sales, but JD Sports issued a profit warning after its trading was weaker then expected.
[4] Yemen: US shoots down missile from Houthi-run area fired towards warship - BBC News
The attacks have led major shipping companies to divert vessels away from the Red Sea, instead taking a longer route around southern Africa. This has already had an impact on the global economy - with shipping giant Maersk telling the BBC it was being felt "down to the end consumer". Tesla and Volvo Cars have suspended some of their car production, UK grocery giant Tesco has warned some prices may go up and Ikea has said supplies could be affected. The Houthi attacks have been "causing major disruption to a vital trade route and driving up commodity prices", UK Prime Minister Rishi Sunak has said.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[5] Sainsbury’s increases pay as supermarkets battle for staff - BBC News
Workers will also benefit from the increase a month earlier than the official rate comes into effect. The pay deal comes exactly a year after Sainsbury's gave its staff a pay bump to £11 an hour, partly in response to other supermarkets increasing wages. Since March last year, Aldi has paid its staff £11.40 an hour outside London and £12.85 inside the capital, while Britain's biggest grocer Tesco has been paying workers £11.02 an hour outside London since April and £11.95 in the capital. But the supermarkets will need to increase worker wages at least in line with the new minimum wage when it comes into effect this April.
But while employees welcome higher pay packets, some businesses see it as another hit to their margins, when running costs remain high. Kate Nicholls, chief executive of the industry body UK Hospitality, said when the government announced the minimum wage rise last year it served as "a reminder that although government announces it, it is businesses who deliver it and why it is so vital other action is taken to reduce tax and costs, particularly [business] rates". Lord Wolfson, chief executive of Next, said after the company's trading update on Thursday that its prices for customers "would've been moving down" if it had not been for its wage bill rising. However, the retail giant did say it expects its profits to be some £960m in 2024.</x:v>
      </x:c>
      <x:c r="E35" s="16" t="str"/>
      <x:c r="F35" s="18" t="str">
        <x:v>y</x:v>
      </x:c>
      <x:c r="G35" s="18" t="str">
        <x:v>text_only</x:v>
      </x:c>
      <x:c r="H35" s="16" t="str">
        <x:v>Evidence explicitly says Tesco warned that some prices may rise.</x:v>
      </x:c>
    </x:row>
    <x:row r="36" ht="72" customHeight="1">
      <x:c r="A36" s="16" t="str">
        <x:v>f38dae352be92176</x:v>
      </x:c>
      <x:c r="B36" s="16" t="str">
        <x:v>What efforts are being made for aid in Gaza?</x:v>
      </x:c>
      <x:c r="C36" s="16" t="str">
        <x:v>There is an urgent need for more aid to Gaza.</x:v>
      </x:c>
      <x:c r="D36" s="16" t="str">
        <x:v>[1]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[IMAGE 1: "A senior United Nations official tells the BBC that civilians may have no choice but to leave entirely."]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[IMAGE 2: "Under the deal, brokered by Qatar and France, new aid is to reach both Gaza civilians and Israeli hostages."]
[3] Palestinians tell of fears for the future as war destroys Gaza - BBC News
Israel says its air and ground operation in Gaza is aimed at destroying Hamas. The majority of Gaza's 2.3 million people are displaced and fight daily to find food, drink and medicine. Mohammed al-Khaldi, a father of two children displaced from Gaza City, told the BBC: "I lost my home, my shop and my source of income. I am no longer able to provide the simplest requirements of life for my children.
I am no longer able to provide the simplest requirements of life for my children. "I hold the Israeli occupation responsible for the massive destruction, but I do not absolve Hamas of responsibility for everything that happened," he said. Hamas is the Palestinian group which has run Gaza since 2007. Its military wing, the Izzedine al-Qassam Brigades, was thought to have about 30,000 members before the 7 October attack.
[IMAGE 3: "Palestinians in Gaza scramble to survive Israeli attacks and secure basics as they fear a return to Hamas rule, too."]
[4] Intense Israeli strikes in south Gaza city as hostages sent medicine - BBC News
The UN says that the war has displaced around 85% of Gaza's 2.3 million people, many of whom have been forced to cram into shelters and are struggling to get basic supplies. In a joint statement, a number of UN special rapporteurs said: "Currently every single person in Gaza is hungry, a quarter of the population are starving and struggling to find food and drinkable water, and famine is imminent." Israel's Defence Minister, Yoav Gallant, has said that the intense stage of Israel's military operations against Hamas would "soon" wind down in the south of Gaza, including Khan Younis, where it is thought local leaders of the armed group may be hiding. He said that the military had already switched to more targeted action in the north, where it began its ground offensive.
We carried a few blankets and walked for 5km (3.1 miles) to reach the entrance to the city of Rafah, and now we are in the street, not knowing where to go." On Wednesday the Jordanian army said its military field hospital in Khan Younis had been badly damaged as a result of Israeli shelling in the area. The Jordanian army said it held Israel responsible for a "flagrant breach of international law". The UN says that the war has displaced around 85% of Gaza's 2.3 million people, many of whom have been forced to cram into shelters and are struggling to get basic supplies.
[IMAGE 4: "Khan Younis residents report intense fighting, as Qatar says Hamas will give medicines to hostages."]
[5]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[IMAGE 5: "The US plan sees diplomatic normalisation with Arab neighbours if Israel ends its offensive."]</x:v>
      </x:c>
      <x:c r="E36" s="16" t="str"/>
      <x:c r="F36" s="18" t="str">
        <x:v>y</x:v>
      </x:c>
      <x:c r="G36" s="18" t="str">
        <x:v>text_only</x:v>
      </x:c>
      <x:c r="H36" s="16" t="str">
        <x:v>Evidence says current aid is insufficient and organizations are working daily to bring in more.</x:v>
      </x:c>
    </x:row>
    <x:row r="37" ht="72" customHeight="1">
      <x:c r="A37" s="16" t="str">
        <x:v>c1f8635f9c99a752</x:v>
      </x:c>
      <x:c r="B37" s="16" t="str">
        <x:v>What did United Airlines find during inspections of the Boeing 737 Max 9?</x:v>
      </x:c>
      <x:c r="C37" s="16" t="str">
        <x:v>The FAA's inspections revealed issues such as loose bolts.</x:v>
      </x:c>
      <x:c r="D37"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[IMAGE 1: "The US aviation regulator grounds 737 Max 9s to conduct urgent checks after the incident in Oregon."]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[IMAGE 2: "It comes after part of the fuselage of an Alaska Airlines Boeing 737 Max 9 fell off, forcing an emergency landing."]
[3] US launches Boeing investigation after blowout - BBC News
Airline regulators in the US have formally launched an investigation of Boeing's processes, after a door plug blew off one of its planes. The Federal Aviation Administration (FAA) said it would examine whether Boeing failed to ensure its completed jets matched their approved design. The FAA had already grounded most of the 737 Max 9 fleet for inspection. The reviews after the emergency on the Alaska Airlines flight have uncovered issues such as loose bolts.
The incident has revived scrutiny of Boeing, which has been trying to repair its reputation after crashes in 2018 and 2019 involving a different version of the 737 Max plane killed 346 people. Its popular 737 Max planes were subsequently grounded globally for more than 18 months. It has reported a string of smaller issues as production resumed.
[IMAGE 3: "The Federal Aviation Administration will examine the jet-maker's processes after last Friday's emergency."]
[4]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[IMAGE 4: "The Alaska Airlines incident could have been much worse, but is still a major issue for the US plane-maker."]
[5]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[IMAGE 5: "The plane maker will allow independent assessments after a door plug fell from one of its aircraft."]</x:v>
      </x:c>
      <x:c r="E37" s="16" t="str">
        <x:v>data/images/e2316a4adbbc6b4a.jpg|data/images/9d3ac8d1c83ebb33.jpg|data/images/da207d9d47fcfca5.jpg|data/images/55ebddaec4099e6b.jpg|data/images/936e5fc1857e4aad.jpg</x:v>
      </x:c>
      <x:c r="F37" s="18" t="str">
        <x:v>n</x:v>
      </x:c>
      <x:c r="G37" s="18" t="str">
        <x:v>unsupported</x:v>
      </x:c>
      <x:c r="H37" s="16" t="str">
        <x:v>Evidence says reviews found loose bolts but does not identify those reviews as FAA inspections.</x:v>
      </x:c>
    </x:row>
    <x:row r="38" ht="72" customHeight="1">
      <x:c r="A38" s="16" t="str">
        <x:v>b2b9d71fee47042a</x:v>
      </x:c>
      <x:c r="B38" s="16" t="str">
        <x:v>What did the RAC say about the motorway electric car charge point target?</x:v>
      </x:c>
      <x:c r="C38" s="16" t="str">
        <x:v>The government has a target to increase the number of electric vehicle charging points from more than 50,000 to 300,000 by 2030.</x:v>
      </x:c>
      <x:c r="D38" s="16" t="str">
        <x:v>[1] BT Group to turn old street cabinets into electric vehicle charging points - BBC News
BT hopes up to 60,000 could be converted, which would help tackle a shortfall in electric car chargers. The government's ambition is to increase the number of charging points from more than 50,000 today to 300,000 by 2030 but Zapmap figures show nearly a third of all UK charging points are currently in London. People have complained about the lack of charging ports in some areas and that some do not work or are unreliable. This pilot project by BT will explore how this solution could be scaled up to address the lack of chargers on UK roads, something that motoring groups have said is holding back Britain's electric car revolution.
"Harnessing existing street furniture is a great way to increase the number of public EV charging points without further adding to clutter along our footpaths," he said. "Making this even more valuable, many of these green street cabinets are located in residential areas across the UK, including smaller villages and towns, where charging infrastructure is most severely lacking." The Department for Transport told the BBC that they have committed "hundreds of millions of pounds to expand local charging across England." Their spokesperson said: "The number of public charge points is rising across the country - increasing by 44% since December 2022.
[IMAGE 1: "Up to 60,000 could be converted to tackle a shortfall in electric car charging points, the group says."]
[2] 20mph: Drakeford says confused drivers will not face 20mph fine - BBC News
"Where people deliberately break the law, where people drive well above 20mph in a 20mph zone, then the law will have to be enforced." He added: "I think if the police find somebody driving above 20mph and the reason is they are genuinely confused about that - I don't think in those circumstances of genuine confusion the police will move to enforcement. "If there are examples, genuine examples, where people just have misunderstood that this piece of road that they are on is now a 20mph limit, I think that will be resolved through the way that the police intend to respond. "But it would need to be genuine confusion, rather than just a claim to be confused."
South Wales Police and Crime Commissioner Alun Michael said "common sense will be applied". "It's not as if there's a will to make life difficult for drivers," he said. Mr Michael told BBC Radio Wales Breakfast that people who did not want it needed to recognise it was now law, and use their common sense in the way they drive. "This is now the law, let's make it work," Mr Michael said.
[IMAGE 2: "Enforcement of the Welsh government's flagship 20mph policy begins on Monday."]
[3] China’s BYD overtakes Tesla's electric car sales in last quarter of 2023 - BBC News
Last January, Mr Musk said that Tesla had the potential to achieve two million deliveries in 2023. The firm cut prices repeatedly to try to woo buyers. The milestone achieved by BYD is a reminder of the challenges facing the firm, which helped to launch the electric vehicle industry. "As BYD has accelerated into the fast lane, it's fresh evidence of just how competitive the EV market has become and how hard it will be for Tesla to swerve back to head the pack," said Susannah Streeter, head of money and markets at Hargreaves Lansdown.
Chinese company BYD sold more electric vehicles than Elon Musk's Tesla in the last three months of 2023 as the two battled for top spot in the sector. BYD said on Monday it had sold a record 526,000 battery-only vehicles in the final quarter of 2023. It marked the first quarter its battery-only sales have outpaced Tesla's. The US-based firm has seen demand slow as borrowing costs climb.
[IMAGE 3: "Electric-only deliveries from Chinese company BYD outpaced Elon Musk's Tesla for the first time."]
[4] Llanelli attempted kidnap: Man tried to drag woman into car - report - BBC News
The force added that its investigation had established the car drove along Hendre Road from Tan Y Graig Road. The police are appealing for information and encouraging local people to check CCTV and doorbell or dashcam footage for sightings of the car.
The car the man was driving is being sought by police A man tried to drag a woman into a car in an attempted kidnap, according to reports to police. They launched an investigation into the matter after they were contacted at about 23:45 GMT on Saturday. The force said the man approached the woman in a dark red or burgundy car as she walked from the British Royal Legion pub on Tan Y Graig Road, Llanelli, in Carmarthenshire.
[IMAGE 4: "The force said the the man asked her to get into the vehicle before grabbing her."]
[5] Young drivers face £3,000 cost for car insurance - BBC News
The association said the figures were based on the price customers paid for their cover rather than what they were quoted. Are you struggling with the cost of car insurance? Share your experiences by emailing haveyoursay@bbc.co.uk. Please include a contact number if you are willing to speak to a BBC journalist.
But he said with the price rises for 17-20-year-olds many young drivers would be looking at whether they can afford to drive at all. "The industry has to be careful not to push younger drivers into other modes of transport and that's a real risk when prices get this high," he said. The Association of British Insurers (ABI) said while car insurance could be expensive there were ways to bring costs down. It added that it was important that motorists never drove without cover and urged anyone struggling with costs to speak to their insurers.
[IMAGE 5: "Inflation and repairs have sent quotes soaring for younger motorists, according to data."]</x:v>
      </x:c>
      <x:c r="E38" s="16" t="str">
        <x:v>data/images/1bce062351592575.jpg|data/images/db72c77fd75f39eb.jpg|data/images/c8e5dcf663ea77f2.jpg|data/images/5968332585fc2388.jpg|data/images/b10eb65a88f11e83.jpg</x:v>
      </x:c>
      <x:c r="F38" s="18" t="str">
        <x:v>y</x:v>
      </x:c>
      <x:c r="G38" s="18" t="str">
        <x:v>text_only</x:v>
      </x:c>
      <x:c r="H38" s="16" t="str">
        <x:v>Evidence explicitly gives the government ambition: over 50,000 charge points to 300,000 by 2030.</x:v>
      </x:c>
    </x:row>
    <x:row r="39" ht="72" customHeight="1">
      <x:c r="A39" s="16" t="str">
        <x:v>8fb9f11fc612e0cc</x:v>
      </x:c>
      <x:c r="B39" s="16" t="str">
        <x:v>What changes do northern business groups want for council tax bands?</x:v>
      </x:c>
      <x:c r="C39" s="16" t="str">
        <x:v>The proposed changes are intended to promote equity in taxation.</x:v>
      </x:c>
      <x:c r="D39" s="16" t="str">
        <x:v>[1] More than 40 Tory MPs call for extra council funding - BBC News
"There's no point cutting national taxes just to see everybody's council tax go up by the maximum," he said. It is understood council leaders are lobbying the government for an extra £750m to help ease pressure over the next year, although if any additional funding is agreed it is likely to be less than that. Talks have taken place in recent weeks which have been described as "constructive" but no final decisions have been taken. If no extra funding is made available for councils, Mr Sunak could find himself facing another Commons rebellion when it comes to a vote on the issue next month.
Mark Wakeling, the charity's chief executive, said: "It's pretty shocking. We think it's a time that resources need to be increased to the sector, not reduced. "People are being asked to choose between street lighting or homelessness or paying for car parks." The council is also looking at stopping funding for all community transport that it is not legally obliged to provide.
[IMAGE 1: "In a letter to the PM, the group warns of cuts to services without extra money for English councils."]
[2] ‘Bankrupt’ Birmingham council plans up to 600 job cuts - BBC News
The BBC recently revealed the council had asked the government for permission to raise council tax by up to 10% each year for the next two years. The council is due to set its budget next month. Do you work for the council or use the services? Will these job cuts affect you?
The council owes more than £2.9bn to lenders, placing it ahead of Leeds on £2.2bn and Woking on £1.9bn. However, council bosses said it is no surprise it was top of the list as it was the largest local authority in the country. A spokesperson for the council said: "We understand that this news will be unsettling, and I want to reassure you that we are here to support you through this process." The BBC recently revealed the council had asked the government for permission to raise council tax by up to 10% each year for the next two years.
[IMAGE 2: "Birmingham City Council is struggling to cope with a huge debt of more than £2.9bn."]
[3] Councils to get extra funding to tackle cash crisis - BBC News
Since 2020, finance bosses at seven councils have issued at least one Section 114 notice - in effect a declaration of bankruptcy - since 2020, with three doing so last year. The notices are an acknowledgment that a local authority cannot balance its books as required by law and lead to a freeze on non-essential spending on services. CCN chairman Councillor Tim Oliver welcomed the additional funding, saying it would "go some way to easing the pressures councils face, and in particular in addressing the escalating costs in delivering social care and home to school transport". But, he added, "service reductions will still be necessary for councils in some areas to balance their books, while the majority of councils will still have little choice but to propose maximum council tax rises".
He said local authorities would have to "produce productivity plans setting out how they will improve service performance and reduce wasteful expenditure to ensure every area is making best use of taxpayers' money". Mr Gove later told reporters the money the government was providing for councils was "not there for politically correct projects, it is there for frontline services, particularly for children who are in need". In December, the Department of Levelling Up, Housing and Communities (DLUHC) said the £64bn figure represented an above-inflation increase of 6.5%. But the settlement included council tax increases of up to 5%, meaning residents would pay more for everyday services.
[IMAGE 3: "Local authorities in England will share an additional £500m to help pay for child and adult social care."]
[4] Wales needs powers to set new tax rates, says Plaid Cymru - BBC News
Neither that, nor powers over tax bands, can be implemented without help from a larger party in Westminster. Currently the Welsh government can only vary the rates the UK government sets. That is unlike the the Scottish government, which has used powers to create new tax bands to adjust how much people pay according to how much they earn. Speaking at a news conference on Tuesday, Mr ap Iorwerth said: "What I'm saying is that we need to be able to target the people who can pay more, and to do so in a fair way, people who are on higher wages."
"Creating a fair society should be an ambition for all of us, collectively," he said. "We shouldn't rest until we can look around our communities and see that no-one is being left behind." Andrew RT Davies, Welsh Conservative Senedd leader, said: "Plaid Cymru has borrowed the Scottish nationalist playbook on taxation, and the outcome will be higher taxes for the poorest in Wales. "As we have seen in Scotland, people on higher wages will consider leaving if tax rates aren't competitive with other parts of the UK, and the outcome will be a higher tax burden on the lowest earners."
[IMAGE 4: "Leader Rhun ap Iorwerth says those who earn more should pay more income tax."]
[5] Port Talbot: Tata Steel would have left UK without aid - Welsh secretary - BBC News
"We will begin discussions with our trade union partners and we will work hard to carry out any changes in a responsible manner," it added. The UK government said it would ensure a "broad range of support for any staff who are affected by the transition, working with the Welsh government and Tata Steel to establish a dedicated transition board to support both affected employees and the local economy with up to £100m funding".
The UK government said it would ensure a "broad range of support for any staff who are affected by the transition" On Friday, Tata Steel managing director T.V. Narendran told BBC Wales Today that the Port Talbot plant was "bleeding" up to £1.5m a day and some assets were coming to the end of their life which the business was "not able to support". "We were reaching a point where we had to make a call and I think we've been public about that. "We said that, a few months back, that we probably have a year left to decide one way or the other.
[IMAGE 5: "A £500m UK government pledge saved Port Talbot's steelworks from closure, Welsh secretary says."]</x:v>
      </x:c>
      <x:c r="E39" s="16" t="str">
        <x:v>data/images/8bd697c5e72a9a83.jpg|data/images/7389ec150b0b51fb.jpg|data/images/ec188e392d7d2811.jpg|data/images/fd184f9617755b56.jpg|data/images/b03552d45e0f95d9.jpg</x:v>
      </x:c>
      <x:c r="F39" s="18" t="str">
        <x:v>y</x:v>
      </x:c>
      <x:c r="G39" s="18" t="str">
        <x:v>text_only</x:v>
      </x:c>
      <x:c r="H39" s="16" t="str">
        <x:v>The proposal is explicitly framed as targeting higher earners in a fair way and creating a fair society.</x:v>
      </x:c>
    </x:row>
    <x:row r="40" ht="72" customHeight="1">
      <x:c r="A40" s="16" t="str">
        <x:v>1ecb36a0ab12c2e5</x:v>
      </x:c>
      <x:c r="B40" s="16" t="str">
        <x:v>What happened to the American Moon mission involving the Peregrine lander?</x:v>
      </x:c>
      <x:c r="C40" s="16" t="str">
        <x:v>The American Moon mission involves the Peregrine lander.</x:v>
      </x:c>
      <x:c r="D40" s="16" t="str">
        <x:v>[1] Peregrine lander: Vulcan rocket launches US private Moon mission - BBC News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The 1.2-tonne Peregrine spacecraft is one of a clutch of US projects aiming to land in 2024 Astrobotic's venture was sent on its way by a brand new rocket called Vulcan, which left its Florida pad at 02:18 EST (07:18 GMT). Fifty minutes later, after a flawless flight, the Pittsburgh-based company's craft was ejected on a path to the Moon. It will take a few weeks to get itself into position to attempt the touch-down.
[2]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A propulsion fault prevented it from even trying to make a touchdown attempt. Dr Simeon Barber from the UK's Open University had instrumentation on Peregrine. "For me, this was all about precision landing. That's a huge Success.
[3]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This will go some way to explaining the difficulties it has had in generating the electricity needed to operate. The image was captured by the small baseball-sized robot called Sora-Q that was ejected from Slim moments before touchdown last Saturday. "An abnormality in the main engine affected the landing attitude of the spacecraft," the Japanese space agency Jaxa said in a statement. It seems one of the two big thrusters on Slim (Smart Lander for Investigating Moon) stopped working during the descent.
[4] Yemen: US shoots down missile from Houthi-run area fired towards warship - BBC News
The missile fired towards the USS Laboon, seen here in a file photo, was downed The US military says it has shot down a missile fired towards one of its warships from a Houthi area of Yemen. The anti-ship cruise missile - fired towards the USS Laboon in the Red Sea - was downed off the coast of Hudaydah by a US fighter aircraft. No injuries or damage were reported in the incident on Sunday afternoon.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[5] Scout leaders accept responsibility for teen's Great Orme death - BBC News
Like we didn't matter and like Ben didn't matter." Ben, who had received his GCSE results days before, was on a summer camp with Reddish Explorer Scouts from Stockport when he died. The plan for the two-day trip had been to hike up Yr Wyddfa, also known as Snowdon, but that walk was scrapped due to a forecast for heavy rain and high winds. Instead, on the second day of the trip, the group were taken to walk up the Great Orme.
Mr Pojur said two of the scouts were sitting together while Ben explored steep ground on his own. "They were concerned about it and tried to persuade Ben to join them," said Mr Pojur. But Ben said he thought he had found a route down - only to be seen slipping on a narrow cliff ledge. Ben Leonard died after falling from the Great Orme</x:v>
      </x:c>
      <x:c r="E40" s="16" t="str"/>
      <x:c r="F40" s="18" t="str">
        <x:v>y</x:v>
      </x:c>
      <x:c r="G40" s="18" t="str">
        <x:v>text_only</x:v>
      </x:c>
      <x:c r="H40" s="16" t="str">
        <x:v>The source identifies Peregrine as the spacecraft in the US private Moon mission.</x:v>
      </x:c>
    </x:row>
    <x:row r="41" ht="72" customHeight="1">
      <x:c r="A41" s="16" t="str">
        <x:v>aaf57df6913e853a</x:v>
      </x:c>
      <x:c r="B41" s="16" t="str">
        <x:v>What happened to the American Moon mission involving the Peregrine lander?</x:v>
      </x:c>
      <x:c r="C41" s="16" t="str">
        <x:v>The mission aims to prepare for future human presence on the lunar surface.</x:v>
      </x:c>
      <x:c r="D41" s="16" t="str">
        <x:v>[1] Peregrine lander: Vulcan rocket launches US private Moon mission - BBC News
We'd never have been able to achieve it without that. But the best thing is it's bringing a lot more creative minds, new minds, new thinking to the table, and that will help accelerate the technologies needed to get us back to the Moon and have a more robust presence on the Moon." Peregrine will aim for the flat volcanic terrain just south of the Gruithuisen hills Nasa's payloads on Peregrine are focused on preparations for the later human presence on the lunar surface.
The 1.2-tonne Peregrine spacecraft is one of a clutch of US projects aiming to land in 2024 Astrobotic's venture was sent on its way by a brand new rocket called Vulcan, which left its Florida pad at 02:18 EST (07:18 GMT). Fifty minutes later, after a flawless flight, the Pittsburgh-based company's craft was ejected on a path to the Moon. It will take a few weeks to get itself into position to attempt the touch-down.
[IMAGE 1: "The Peregrine spacecraft leaves Earth, aiming to make the first US soft lunar-landing in 51 years."]
[2] Japan lands on Moon but glitch threatens mission - BBC News
The targeted landing site was on the slopes approaching Shioli Crater, which is just south of the Moon's equator Jaxa has twice landed robots on asteroids, so this Moon touchdown is another feather in its cap. It will be playing significant roles in the US space agency's (Nasa) Artemis programme, which seeks to put humans back on the lunar surface after a gap of more than half a century. Last year, a private Japanese company, iSpace, had a go at landing.
A propulsion fault prevented it from even trying to make a touchdown attempt. Dr Simeon Barber from the UK's Open University had instrumentation on Peregrine. "For me, this was all about precision landing. That's a huge Success.
[IMAGE 2: "It becomes only the fifth country to soft-land on the Moon but power supply problems may hinder its mission."]
[3] Stricken Japanese Moon mission landed on its nose - BBC News
It would be regarded as a valuable technology demonstration for future lunar explorations, and the acquired knowledge and experience will be applied in upcoming missions," the agency said. The targeted landing site was on the slopes approaching Shioli Crater, which is just south of the Moon's equator
This will go some way to explaining the difficulties it has had in generating the electricity needed to operate. The image was captured by the small baseball-sized robot called Sora-Q that was ejected from Slim moments before touchdown last Saturday. "An abnormality in the main engine affected the landing attitude of the spacecraft," the Japanese space agency Jaxa said in a statement. It seems one of the two big thrusters on Slim (Smart Lander for Investigating Moon) stopped working during the descent.
[IMAGE 3: "The first image of the Slim spacecraft shows it to be in an awkward position on the lunar surface."]
[4] Ingenuity: Damage puts end to ground-breaking Mars helicopter mission - BBC News
Watch Ingenuity's first flight: It climbed to 3m, hovered and then landed Nasa's Ingenuity Mars helicopter, which made history by achieving the first powered flight on another world, has suffered mission-ending damage. In a statement, Nasa said the aircraft was forced to perform an "emergency landing" that damaged its rotors. The space agency's Bill Nelson said the aircraft was "the little helicopter that could" and had racked up far more flights than had been intended.
The space agency's Bill Nelson said the aircraft was "the little helicopter that could" and had racked up far more flights than had been intended. He said Ingenuity had "paved the way for future flight in our Solar System". Ingenuity took a picture of the shadow cast by a broken rotor blade Ingenuity is said to remain "upright" but images showed that "one or more of its rotor blades" were damaged and it was "no longer capable of flight".
[IMAGE 4: "The first vehicle to achieve powered flight on another planet suffers rotor damage three years into tour."]
[5] Yemen: US shoots down missile from Houthi-run area fired towards warship - BBC News
The missile fired towards the USS Laboon, seen here in a file photo, was downed The US military says it has shot down a missile fired towards one of its warships from a Houthi area of Yemen. The anti-ship cruise missile - fired towards the USS Laboon in the Red Sea - was downed off the coast of Hudaydah by a US fighter aircraft. No injuries or damage were reported in the incident on Sunday afternoon.
No injuries or damage were reported in the incident on Sunday afternoon. It comes after the US and UK launched strikes aimed at degrading the military capability of the Houthis, who have been attacking Red Sea cargo ships. The US and UK hit nearly 30 locations in Yemen on Friday, reportedly including arms depots, logistical hubs and air defence systems. The US followed up on Saturday with another strike on a Houthi radar site.
[IMAGE 5: "A fighter jet downs the missile from a Houthi-run area following US-UK strikes in Yemen."]</x:v>
      </x:c>
      <x:c r="E41" s="16" t="str"/>
      <x:c r="F41" s="18" t="str">
        <x:v>y</x:v>
      </x:c>
      <x:c r="G41" s="18" t="str">
        <x:v>text_only</x:v>
      </x:c>
      <x:c r="H41" s="16" t="str">
        <x:v>Evidence says NASA's Peregrine payloads prepare for later human presence on the lunar surface.</x:v>
      </x:c>
    </x:row>
    <x:row r="42" ht="72" customHeight="1">
      <x:c r="A42" s="16" t="str">
        <x:v>55eb515605c43ec1</x:v>
      </x:c>
      <x:c r="B42" s="16" t="str">
        <x:v>What efforts are being made for aid in Gaza?</x:v>
      </x:c>
      <x:c r="C42" s="16" t="str">
        <x:v>The UN reports that famine is imminent in Gaza.</x:v>
      </x:c>
      <x:c r="D42" s="16" t="str">
        <x:v>[1]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[IMAGE 1: "A senior United Nations official tells the BBC that civilians may have no choice but to leave entirely."]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[IMAGE 2: "Under the deal, brokered by Qatar and France, new aid is to reach both Gaza civilians and Israeli hostages."]
[3] Palestinians tell of fears for the future as war destroys Gaza - BBC News
Israel says its air and ground operation in Gaza is aimed at destroying Hamas. The majority of Gaza's 2.3 million people are displaced and fight daily to find food, drink and medicine. Mohammed al-Khaldi, a father of two children displaced from Gaza City, told the BBC: "I lost my home, my shop and my source of income. I am no longer able to provide the simplest requirements of life for my children.
I am no longer able to provide the simplest requirements of life for my children. "I hold the Israeli occupation responsible for the massive destruction, but I do not absolve Hamas of responsibility for everything that happened," he said. Hamas is the Palestinian group which has run Gaza since 2007. Its military wing, the Izzedine al-Qassam Brigades, was thought to have about 30,000 members before the 7 October attack.
[IMAGE 3: "Palestinians in Gaza scramble to survive Israeli attacks and secure basics as they fear a return to Hamas rule, too."]
[4] Intense Israeli strikes in south Gaza city as hostages sent medicine - BBC News
The UN says that the war has displaced around 85% of Gaza's 2.3 million people, many of whom have been forced to cram into shelters and are struggling to get basic supplies. In a joint statement, a number of UN special rapporteurs said: "Currently every single person in Gaza is hungry, a quarter of the population are starving and struggling to find food and drinkable water, and famine is imminent." Israel's Defence Minister, Yoav Gallant, has said that the intense stage of Israel's military operations against Hamas would "soon" wind down in the south of Gaza, including Khan Younis, where it is thought local leaders of the armed group may be hiding. He said that the military had already switched to more targeted action in the north, where it began its ground offensive.
We carried a few blankets and walked for 5km (3.1 miles) to reach the entrance to the city of Rafah, and now we are in the street, not knowing where to go." On Wednesday the Jordanian army said its military field hospital in Khan Younis had been badly damaged as a result of Israeli shelling in the area. The Jordanian army said it held Israel responsible for a "flagrant breach of international law". The UN says that the war has displaced around 85% of Gaza's 2.3 million people, many of whom have been forced to cram into shelters and are struggling to get basic supplies.
[IMAGE 4: "Khan Younis residents report intense fighting, as Qatar says Hamas will give medicines to hostages."]
[5]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[IMAGE 5: "The US plan sees diplomatic normalisation with Arab neighbours if Israel ends its offensive."]</x:v>
      </x:c>
      <x:c r="E42" s="16" t="str">
        <x:v>data/images/e83342dba7264808.jpg|data/images/5b35e8b9809839cd.jpg|data/images/2f8b80d899b17246.jpg|data/images/9df4118168d7d7c3.jpg|data/images/8b12b93d6a9c81ec.jpg</x:v>
      </x:c>
      <x:c r="F42" s="18" t="str">
        <x:v>y</x:v>
      </x:c>
      <x:c r="G42" s="18" t="str">
        <x:v>text_only</x:v>
      </x:c>
      <x:c r="H42" s="16" t="str">
        <x:v>UN special rapporteurs explicitly said famine is imminent.</x:v>
      </x:c>
    </x:row>
    <x:row r="43" ht="72" customHeight="1">
      <x:c r="A43" s="16" t="str">
        <x:v>15244dbe698c9059</x:v>
      </x:c>
      <x:c r="B43" s="16" t="str">
        <x:v>What efforts are being made for aid in Gaza?</x:v>
      </x:c>
      <x:c r="C43" s="16" t="str">
        <x:v>Efforts to provide aid in Gaza are ongoing.</x:v>
      </x:c>
      <x:c r="D43" s="16" t="str">
        <x:v>[1] Tough choices for Israel in US's Middle East vision - BBC News
It's not just food, she added. Power stations and wastewater facilities need fuel. Hospitals need supplies and equipment. The number of aid trucks entering Gaza, through circuitous routes from Jordan and elsewhere, are not nearly enough.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
[2] Israel Gaza war: Deal reached on aid to Gaza, including to hostages - BBC News
About 85% of Gaza's population has been displaced Israel and Hamas have reached a deal to allow more humanitarian aid into war-ravaged Gaza, Qatari mediators say. They say that under a deal brokered by Qatar and France, medicines will be given to hostages held by Hamas. In return Israel will allow more basic supplies into Gaza.
Under the deal, the humanitarian supplies will leave the Qatari capital, Doha, for Egypt on Wednesday. The aid will then be taken to Gaza, to be delivered to civilians, while medicines are to reach Israeli captives. More than 132 hostages are thought to be still held in Gaza. About 240 people were captured by Hamas in a series of raids in southern Israel on 7 October.
[3] Gaza destruction risks lost generation of children, says UN official - BBC News
"Virtually all infrastructure including water and electricity have been badly damaged, so basic public services in Gaza are not available any more." Cogat officials have disputed the scale of Gaza's humanitarian crisis and they told me Israel does not target civilians or public infrastructure, unless it is suspected of being used by armed Palestinian groups. They also say they're working daily in collaboration with UN agencies to get more aid into Gaza. With other key institutions like Gaza's parliament and a brand-new courthouse - the Palace of Justice, paid for by Qatar - also destroyed by Israeli forces, there's very little left of Gazan society.
Israel denies accusations of deliberately turning Gaza into a wasteland, but Mr Lazzarini fears the net impact is that people might have no choice but to leave. "The facts on the ground are indeed pointing in this direction," he tells me, clearly anxious that the longer the fighting continues the worse the predicament for more than a million displaced Gazans will become. "What we have seen is a breakdown in civil order," adds Mr Lazzarini. "Virtually all infrastructure including water and electricity have been badly damaged, so basic public services in Gaza are not available any more."
[4] Mediators push for Gaza ceasefire deal but gaps remain between Israel and Hamas - BBC News
The UN says the humanitarian situation in Gaza is "appalling", with 2.2 million Palestinians living in "inhumane, squalid conditions" With more than 25,000 people now killed in Gaza, according to local health officials, and a catastrophic humanitarian situation, international calls for a ceasefire have become much harder for Israel to ignore. Meanwhile, noisy protests and rallies by the families of Israeli hostages ensure their demand to bring home their loved ones has become a priority of domestic politics. They have overwhelming public sympathy.
However, one thing that Israel and its Western allies are unlikely to compromise on is that Hamas leaders must be removed from power in Gaza, to ensure that there can be no repeat of the attacks three months ago, which killed about 1,200 people. Interestingly, there have been unconfirmed media reports this week that as part of a ceasefire and hostage release proposal, Israel had made an offer to allow top Hamas leaders in Gaza to relocate to other countries. Hamas claimed it had rejected such a proposal. The UN says the humanitarian situation in Gaza is "appalling", with 2.2 million Palestinians living in "inhumane, squalid conditions"
[5] UNRWA claims: UK halts aid to UN agency over allegation staff helped Hamas attack - BBC News
Another 250 people were taken hostage. The events triggered Israel's retaliatory attacks on Hamas in Gaza, which have killed more than 26,000 Palestinians, according to the territory's Hamas-run health ministry. The US, Germany and the EU are among some of UNRWA's biggest donors. The agency says it is struggling to get humanitarian aid to many of the estimated 1.7 million people - nearly three-quarters of the population - displaced by 12 weeks of fighting.
The agency says it is struggling to get humanitarian aid to many of the estimated 1.7 million people - nearly three-quarters of the population - displaced by 12 weeks of fighting. A number of UN facilities where Gazans had taken shelter have been hit in Israeli air strikes. On Wednesday, 12 people were killed when a UN shelter was struck in Khan Younis in southern Gaza. Correction 13th February: This article wrongly reported that about 1,300 people had been killed following the 7th October attack by Hamas.</x:v>
      </x:c>
      <x:c r="E43" s="16" t="str"/>
      <x:c r="F43" s="18" t="str">
        <x:v>y</x:v>
      </x:c>
      <x:c r="G43" s="18" t="str">
        <x:v>text_only</x:v>
      </x:c>
      <x:c r="H43" s="16" t="str">
        <x:v>Evidence describes daily work with UN agencies and an active deal to deliver aid.</x:v>
      </x:c>
    </x:row>
    <x:row r="44" ht="72" customHeight="1">
      <x:c r="A44" s="16" t="str">
        <x:v>c03affb88fdb5141</x:v>
      </x:c>
      <x:c r="B44" s="16" t="str">
        <x:v>What was revealed about a British national sentenced for spying in China?</x:v>
      </x:c>
      <x:c r="C44" s="16" t="str">
        <x:v>China has publicized various cases of alleged spying activities as part of this campaign.</x:v>
      </x:c>
      <x:c r="D44" s="16" t="str">
        <x:v>[1] MI6 spy detained in China, authorities claim - BBC News
Chinese authorities say they have detained an individual alleged to be spying for Britain's foreign intelligence service, MI6. China's Ministry of State Security (MSS) said the individual was a foreigner and was trying to collect information inside the country. It is the latest arrest in a campaign by Chinese security to clamp down on foreign spying. The British government has not commented on the claims.
It said consular visits had been arranged following the arrest but did not say from which country. China has increasingly been publicising cases of alleged espionage by Western countries. Previous cases have focused on alleged activity by the US's Central Intelligence Agency (CIA) - so accusing Britain's MI6 is more unusual. Beijing has also launched public campaigns to raise awareness of foreign spying and calling on people to report any activity.
[2] China warns citizens against 'exotic beauty' traps of foreign spies - BBC News
It added that Mr Li's "nightmare was far from over" even after he returned to China, as he was continuously coerced into providing the organisation with classified information. "In the end, Mr Li [was] completely reduced to a puppet at the mercy of the foreign intelligence group and has caused immeasurable harm to China's national security. the ministry said. It added that Mr Li had been arrested and will face a "rigorous trial".
The Ministry of State Security, which functions as China's intelligence and secret police agency, has increasingly been raising the alarm among citizens about the dangers of foreign spies. The ministry has also been making public the cases of people being arrested for espionage in China. Earlier this month, the ministry said Beijing had detained an individual alleged to be spying for Britain's foreign intelligence service, MI6. "I do not think honey traps are any more prevalent now than at other points in time.
[3] Jimmy Lai: Hong Kong mogul pleads not guilty to national security crimes - BBC News
His landmark trial started on 18 December after a year-long delay and is expected to last for about 80 days. Mr Lai has been held in solitary confinement since December 2020, following his arrest for fraud and for his involvement in protests in the former British territory. He is a UK citizen and British Foreign Secretary David Cameron is among those who have called for his release. He is the most prominent person charged with violating the Beijing-backed National Security Law (NSL), which critics allege is being used to crack down on dissent.
Mr Lai, 76, is the most prominent person charged for violating the Beijing-backed National Security Law Hong Kong pro-democracy media mogul Jimmy Lai has pleaded not guilty to sedition and collusion with foreign forces in a landmark security trial. His case has sparked an international outcry and is widely seen as a test of Hong Kong's judicial independence. His landmark trial started on 18 December after a year-long delay and is expected to last for about 80 days.
[4] How London hotel sting caught Swiss museum heist thieves - BBC News
"Please, any help would be great." China Guardian then tipped off the Met Police and undercover officers struck up a relationship with Mr Steel as part of a covert operation. His real name was David Lamming, they discovered, and his email address was connected to the Ahearnes. One officer, using the alias Paul, liaised with the gang and then agreed to meet Lamming to discuss a price for selling the stolen vase.
A leaflet from the Geneva museum was also retrieved. A circle had been drawn around the pictures of the stolen Ming Dynasty items. Wright and Nkhwa were each convicted in London of conspiracy to convert criminal property; they were sentenced to three years and 30 months' imprisonment respectively. Lamming changed his plea to guilty just before the trial began.
[5] Gaza war creating a radicalisation moment, senior UK police officer says - BBC News
Senior officers also say the UK has a legal duty to support the work of the International Criminal Court, and coroners' inquests into the deaths of British nationals. The problem detectives face is that they might receive "dossiers" of evidence that war crimes have been committed, but no first or second-hand eye witness accounts. Information tends to come from law firms, non-government organisations such as charities, and "people in the middle of conflict". The counter-terrorism command is also dealing with an increased threat from hostile states, principally Russia, Iran and China.
The counter-terrorism command is also dealing with an increased threat from hostile states, principally Russia, Iran and China. In a recent case, an Austrian man, Magomed-Husejn Dovtaev, was jailed for three years after being spotted by security guards carrying out "hostile reconnaissance" on an Iranian media company in Chiswick, London, which had been threatened due to its reporting on Iran. Police are also concerned states targeting the UK are paying criminals to carry out their activities, because an organised crime gang may find it easier to operate across borders and move weapons than a spy. A new investigations team has been set up to counter hostile states, closely linked to the security and secret intelligence services, MI5 and MI6.</x:v>
      </x:c>
      <x:c r="E44" s="16" t="str"/>
      <x:c r="F44" s="18" t="str">
        <x:v>y</x:v>
      </x:c>
      <x:c r="G44" s="18" t="str">
        <x:v>text_only</x:v>
      </x:c>
      <x:c r="H44" s="16" t="str">
        <x:v>Evidence says China increasingly publicizes alleged espionage cases as part of its clampdown.</x:v>
      </x:c>
    </x:row>
    <x:row r="45" ht="72" customHeight="1">
      <x:c r="A45" s="16" t="str">
        <x:v>5c1eabf067f7ca9d</x:v>
      </x:c>
      <x:c r="B45" s="16" t="str">
        <x:v>What changes do northern business groups want for council tax bands?</x:v>
      </x:c>
      <x:c r="C45" s="16" t="str">
        <x:v>The groups want to create a fairer taxation system.</x:v>
      </x:c>
      <x:c r="D45" s="16" t="str">
        <x:v>[1] More than 40 Tory MPs call for extra council funding - BBC News
"There's no point cutting national taxes just to see everybody's council tax go up by the maximum," he said. It is understood council leaders are lobbying the government for an extra £750m to help ease pressure over the next year, although if any additional funding is agreed it is likely to be less than that. Talks have taken place in recent weeks which have been described as "constructive" but no final decisions have been taken. If no extra funding is made available for councils, Mr Sunak could find himself facing another Commons rebellion when it comes to a vote on the issue next month.
Mark Wakeling, the charity's chief executive, said: "It's pretty shocking. We think it's a time that resources need to be increased to the sector, not reduced. "People are being asked to choose between street lighting or homelessness or paying for car parks." The council is also looking at stopping funding for all community transport that it is not legally obliged to provide.
[IMAGE 1: "In a letter to the PM, the group warns of cuts to services without extra money for English councils."]
[2] ‘Bankrupt’ Birmingham council plans up to 600 job cuts - BBC News
The BBC recently revealed the council had asked the government for permission to raise council tax by up to 10% each year for the next two years. The council is due to set its budget next month. Do you work for the council or use the services? Will these job cuts affect you?
The council owes more than £2.9bn to lenders, placing it ahead of Leeds on £2.2bn and Woking on £1.9bn. However, council bosses said it is no surprise it was top of the list as it was the largest local authority in the country. A spokesperson for the council said: "We understand that this news will be unsettling, and I want to reassure you that we are here to support you through this process." The BBC recently revealed the council had asked the government for permission to raise council tax by up to 10% each year for the next two years.
[IMAGE 2: "Birmingham City Council is struggling to cope with a huge debt of more than £2.9bn."]
[3] Councils to get extra funding to tackle cash crisis - BBC News
Since 2020, finance bosses at seven councils have issued at least one Section 114 notice - in effect a declaration of bankruptcy - since 2020, with three doing so last year. The notices are an acknowledgment that a local authority cannot balance its books as required by law and lead to a freeze on non-essential spending on services. CCN chairman Councillor Tim Oliver welcomed the additional funding, saying it would "go some way to easing the pressures councils face, and in particular in addressing the escalating costs in delivering social care and home to school transport". But, he added, "service reductions will still be necessary for councils in some areas to balance their books, while the majority of councils will still have little choice but to propose maximum council tax rises".
He said local authorities would have to "produce productivity plans setting out how they will improve service performance and reduce wasteful expenditure to ensure every area is making best use of taxpayers' money". Mr Gove later told reporters the money the government was providing for councils was "not there for politically correct projects, it is there for frontline services, particularly for children who are in need". In December, the Department of Levelling Up, Housing and Communities (DLUHC) said the £64bn figure represented an above-inflation increase of 6.5%. But the settlement included council tax increases of up to 5%, meaning residents would pay more for everyday services.
[IMAGE 3: "Local authorities in England will share an additional £500m to help pay for child and adult social care."]
[4] Wales needs powers to set new tax rates, says Plaid Cymru - BBC News
Neither that, nor powers over tax bands, can be implemented without help from a larger party in Westminster. Currently the Welsh government can only vary the rates the UK government sets. That is unlike the the Scottish government, which has used powers to create new tax bands to adjust how much people pay according to how much they earn. Speaking at a news conference on Tuesday, Mr ap Iorwerth said: "What I'm saying is that we need to be able to target the people who can pay more, and to do so in a fair way, people who are on higher wages."
"Creating a fair society should be an ambition for all of us, collectively," he said. "We shouldn't rest until we can look around our communities and see that no-one is being left behind." Andrew RT Davies, Welsh Conservative Senedd leader, said: "Plaid Cymru has borrowed the Scottish nationalist playbook on taxation, and the outcome will be higher taxes for the poorest in Wales. "As we have seen in Scotland, people on higher wages will consider leaving if tax rates aren't competitive with other parts of the UK, and the outcome will be a higher tax burden on the lowest earners."
[IMAGE 4: "Leader Rhun ap Iorwerth says those who earn more should pay more income tax."]
[5] Port Talbot: Tata Steel would have left UK without aid - Welsh secretary - BBC News
"We will begin discussions with our trade union partners and we will work hard to carry out any changes in a responsible manner," it added. The UK government said it would ensure a "broad range of support for any staff who are affected by the transition, working with the Welsh government and Tata Steel to establish a dedicated transition board to support both affected employees and the local economy with up to £100m funding".
The UK government said it would ensure a "broad range of support for any staff who are affected by the transition" On Friday, Tata Steel managing director T.V. Narendran told BBC Wales Today that the Port Talbot plant was "bleeding" up to £1.5m a day and some assets were coming to the end of their life which the business was "not able to support". "We were reaching a point where we had to make a call and I think we've been public about that. "We said that, a few months back, that we probably have a year left to decide one way or the other.
[IMAGE 5: "A £500m UK government pledge saved Port Talbot's steelworks from closure, Welsh secretary says."]</x:v>
      </x:c>
      <x:c r="E45" s="16" t="str"/>
      <x:c r="F45" s="18" t="str">
        <x:v>n</x:v>
      </x:c>
      <x:c r="G45" s="18" t="str">
        <x:v>unsupported</x:v>
      </x:c>
      <x:c r="H45" s="16" t="str">
        <x:v>The fair-tax position is attributed to Plaid Cymru, not the claimed Northern business groups.</x:v>
      </x:c>
    </x:row>
    <x:row r="46" ht="72" customHeight="1">
      <x:c r="A46" s="16" t="str">
        <x:v>4a437f73b250a095</x:v>
      </x:c>
      <x:c r="B46" s="16" t="str">
        <x:v>Who did Luke Littler defeat to reach the World Darts Championship final?</x:v>
      </x:c>
      <x:c r="C46" s="16" t="str">
        <x:v>Luke Littler defeated Brendan Dolan in an earlier match.</x:v>
      </x:c>
      <x:c r="D46" s="16" t="str">
        <x:v>[1] Luke Littler: Teenager in PDC World Darts Championship final against Luke Humphries - BBC Sport
Luke Littler has already earned £200,000 for his run to the final You can follow live coverage of the PDC World Darts Championship final in a text commentary on the BBC Sport website from 19:30 GMT on Wednesday, 3 January. Luke Littler began his PDC World Darts Championship debut hoping simply "to win one game" but now the 16-year-old sensation will face Luke Humphries on Wednesday evening in what is anticipated to be the most-watched final in the tournament's 31-year history. In polishing off his latest remarkable victory at Alexandra Palace - this time stunning former champion Rob Cross - Littler became the youngest person to reach the title decider.
In polishing off his latest remarkable victory at Alexandra Palace - this time stunning former champion Rob Cross - Littler became the youngest person to reach the title decider. And his meteoric rise has transcended the sport to an extent that his semi-final match set a Sky tournament viewing record, with a peak audience of 2.32 million, comfortably surpassing the 2015 final (1.65 million). The record for a darts final is the 8.3 million who tuned in to watch qualifier Keith Deller win the 1983 title by beating favourite Eric Bristow in the now defunct BDO World Championship on the BBC. Littler, who began playing darts on a magnetic board when he was just 18 months old, entered this tournament ranked 164th in the world.
[2] Luke Littler v Brendan Dolan: Teenager 'daring to dream' of World Championship glory - BBC Sport
Luke Littler (left) used to imitate his idol Raymond van Barneveld's arms-outstretched celebration aged three Like most 16-year-olds in England, Luke Littler began 2023 preparing for his summer GCSE exams. A year on and he is three victories from becoming the youngest winner of the PDC World Darts Championship. A fairytale run to the quarter-finals, including a dazzling win over childhood idol Raymond van Barneveld, has taken him from relative obscurity to sporting stardom - and he is ready for more.
His average of 106.2 in his 3-0 first-round win against Dutchman Christian Kist was the highest achieved by a tournament debutant. The next day, UK Open champion Andrew Gilding was dispatched 3-1, before Canada's Matt Campbell was beaten 4-1 to set up a last-16 match with five-time world champion Van Barneveld. The Dutchman, 40 years Littler's senior, was the youngster's idol growing up, but he showed no sign of being overawed as he breezed past the veteran 4-1. "My game can be better than anyone's on the day and I have shown it there against one of the greatest who have graced that stage," added Littler.
[3] Bahrain Masters: Luke Littler beats Michael van Gerwen in final - BBC Sport
Teenager Luke Littler continued his stunning rise by beating Michael van Gerwen 8-5 to win the Bahrain Masters. It is Littler's first PDC senior title after coming up short against Luke Humphries in the World Championship final earlier this month. Littler, 16, earlier threw a nine-darter in the first leg of his quarter-final victory over Nathan Aspinall. "No-one believes me but I hadn't thrown a dart since the world final until yesterday," Littler told ITV4.
England's Littler broke Dutch three-time world champion Van Gerwen in legs eight and 12. He saw off Hong Kong's Man Lok Leung 6-3 in his opening match on Thursday before beating Aspinall 6-3 and Gerwyn Price 7-3 on Friday to reach the final. In beating Aspinall, Price and Van Gerwen, he recorded victories over three of the world's top five ranked players to claim the title. Littler also became the youngest person to make a nine-darter - scoring 501 with the minimum number of darts required - on live television and is only the second player to achieve the feat in the World Series, which started in 2013, after 16-time world champion Phil Taylor.
[4] Bahrain Masters: Teenage sensation Luke Littler claims 6-3 win on World Series of Darts debut - BBC Sport
Luke Littler has climbed 133 places in the world rankings in the last month after his exploits at Alexandra Palace Teenage sensation Luke Littler beat Hong Kong's Man Lok Leung 6-3 on his highly anticipated World Series of Darts debut at the Bahrain Masters. Littler, who turns 17 in three days, was the youngest PDC World Championship finalist earlier in January. He faces fellow Englishman Nathan Aspinall in the last eight, after the World Matchplay champion edged past the Philippines' Lourence Ilagan 6-5.
The quarter-finals, semi-finals, and final are all scheduled to take place on Friday. Littler, who has had some time off since his exploits at Alexandra Palace, missed three attempts at double five in the first leg as he went 2-0 down. However, he then reeled off five consecutive legs before sealing his victory against the world number 126. Meanwhile, new world champion Luke Humphries extended his 19-match winning run with a resounding 6-0 victory over the host nation's Abdulla Saeed.
[5] Luke Littler v Rob Cross: Teenager confident of winning PDC World Darts Championship - BBC Sport
For Luke Littler, the darts-mad 16-year-old who first played on a magnetic board as a toddler, just winning one match at the PDC World Championship was a historic achievement. But with each passing win he keeps setting his heights ever higher. And after sweeping past Brendan Dolan to set up a semi-final against Rob Cross on Tuesday, Littler now has his eyes on the biggest prize of all. "It's going to take a lot to stop me," he said.
Standing between Littler and a place in the final is world number eight Cross, who made history himself by becoming the first player to fight back from 4-0 to beat Chris Dobey 5-4 in his quarter-final. Cross won the World Championship on his debut in 2018 and thinks Littler has similar momentum behind him now. "Everyone loves an underdog story," Cross said. "It took a bit of pressure off me winning it first time as well.</x:v>
      </x:c>
      <x:c r="E46" s="16" t="str"/>
      <x:c r="F46" s="18" t="str">
        <x:v>y</x:v>
      </x:c>
      <x:c r="G46" s="18" t="str">
        <x:v>text_only</x:v>
      </x:c>
      <x:c r="H46" s="16" t="str">
        <x:v>Evidence says Littler swept past Brendan Dolan before the semi-final against Rob Cross.</x:v>
      </x:c>
    </x:row>
    <x:row r="47" ht="72" customHeight="1">
      <x:c r="A47" s="16" t="str">
        <x:v>4b1786359f05f328</x:v>
      </x:c>
      <x:c r="B47" s="16" t="str">
        <x:v>What did United Airlines find during inspections of the Boeing 737 Max 9?</x:v>
      </x:c>
      <x:c r="C47" s="16" t="str">
        <x:v>The inspections were mandated by the Federal Aviation Administration (FAA).</x:v>
      </x:c>
      <x:c r="D47" s="16" t="str">
        <x:v>[1] Flights cancelled as regulator grounds Boeing 737 Max 9s over blowout - BBC News
United Airlines says it has carried out the inspections required by the FAA on some of its 737 Max 9 planes. Removing some of its aircraft from service was expected to cause about 60 cancellations on Saturday, the airline said in a statement. Turkish Airlines has grounded five of its 737 Max 9s. Flydubai said its three 737 Max 9s were not affected as they had a "different configuration" compared to the Alaska Airline planes and have completed recent safety checks.
It follows regulator the Federal Aviation Administration (FAA) ordering "immediate inspections" of 737 Max 9s worldwide. Required inspections would take around four to eight hours per aircraft, it said. The European Union Aviation Safety Agency (EASA) is following the FAA approach, but flight disruptions on the continent are expected to be minimal. EASA said it believes no European airlines operate Max 9s with the configuration covered by the FAA order.
[2] FAA grounds 171 Boeing planes after mid-air blowout on Alaska Airlines jet - BBC News
On Friday the Alaska Airlines flight had to make an emergency landing after take-off from the US state of Oregon. United Airlines says it has carried out the inspections required by the FAA on some of its 79 Boeing 737 Max 9 planes. Removing some of the aircraft from service was expected to cause about 60 cancellations on Saturday, the airline said in a statement. Earlier, the FAA said it would "order the temporary grounding of certain Boeing 737 Max 9 aircraft operated by US airlines or in US territory".
"We are very, very fortunate here that this didn't end up in something more tragic," Jennifer Homendy said. She added that investigators believed the door that came off the plane was now in the Cedar Hills neighbourhood in Portland and urged anyone who found it to contact local police. Meanwhile, the UK's Civil Aviation Authority (CAA) confirmed that there were no UK-registered 737 Max 9 aircraft. "We have written to non-UK and foreign permit carriers to ask inspections have been undertaken prior to operation in UK airspace," it wrote on X, formerly Twitter.
[3] Boeing's mid-flight blowout a big problem for company - BBC News
We agree with and fully support the FAA's decision to require immediate inspections of 737-9 airplanes with the same configuration as the affected airplane." Boeing is in the process of ramping up production of the 737 Max to cut waiting times for customers and reduce its backlog of orders. Arguably, the timing of this latest incident involving its flagship aircraft could not have been worse. Whatever the cause, it is likely to create further anxiety around the already-damaged 737 Max brand, particularly among passengers.
"This is just a gigantic wake-up call", he said. "This might just be a major blessing to have such a highly visible incident occur that will cause them to have to admit they have some serious problems." In a statement issued after the FAA ordered the most recent groundings, the company said: "Safety is our top priority and we deeply regret the impact this event has had on our customers and their passengers. We agree with and fully support the FAA's decision to require immediate inspections of 737-9 airplanes with the same configuration as the affected airplane."
[4] Boeing to increase quality inspections of 737 Max production - BBC News
It will also check the work of the firm that supplies and installs the parts involved in the accident. Last week, the US regulator extended the grounding of 737 Max's with similar fuselage panels. The Federal Aviation Administration (FAA) also said it would conduct an audit of the plane's production line, adding it believed there were "significant problems" with the 737 Max 9 jet as well as "other manufacturing problems". Announcing the latest measures, Boeing commercial airplanes president and CEO Stan Deal said the company was "not where we need to be".
"We are planning additional inspections throughout the build process at Boeing and at Spirit," Mr Deal said. "These checks will provide one more layer of scrutiny on top of the thousands of inspections performed today across each 737 airplane." Scrutiny of Boeing has been renewed after the blowout on the Alaska Airlines flight from Portland, Oregon to California, which forced an emergency landing but resulted in no serious injuries. The US aerospace giant has been struggling to restore confidence after crashes in 2018 and 2019 involving a different plane in the 737 Max group killed 346 people.
[5] Boeing seeks Ryanair support with checks after mid-air blowout - BBC News
On Monday, Boeing announced that an outside party would also be brought in to assess its production practices. It will also check the work of the firm that supplies and installs the parts involved in the accident. Last week, the US regulator extended the grounding of 737 Max's with similar fuselage panels, while United and Alaska Airlines have said they were extending the cancellations of any flights involving the 737 Max 9 through until Wednesday. The Federal Aviation Administration (FAA) also said it would conduct an audit of the plane's production line, adding it believed there were "significant problems" with the 737 Max 9 jet as well as "other manufacturing problems".
Boeing has asked Ryanair to send extra engineers to oversee quality checks of its planes "on the ground" following the Alaska Airlines incident. Ryanair's boss told the BBC that quality was improving but the incident had shown there was "more to be done". It comes after an unused door fell off a Boeing 737 Max 9 operated by US-based Alaska Airlines. Ryanair does not use Boeing's 737 Max 9 aircraft but operates the Max 8 variant and has Max 10s on order.</x:v>
      </x:c>
      <x:c r="E47" s="16" t="str"/>
      <x:c r="F47" s="18" t="str">
        <x:v>y</x:v>
      </x:c>
      <x:c r="G47" s="18" t="str">
        <x:v>text_only</x:v>
      </x:c>
      <x:c r="H47" s="16" t="str">
        <x:v>Evidence explicitly says the FAA ordered or required the inspections.</x:v>
      </x:c>
    </x:row>
    <x:row r="48" ht="72" customHeight="1">
      <x:c r="A48" s="16" t="str">
        <x:v>df7fd48f002e036f</x:v>
      </x:c>
      <x:c r="B48" s="16" t="str">
        <x:v>What was Sarah Ferguson's reaction to her skin cancer diagnosis?</x:v>
      </x:c>
      <x:c r="C48" s="16" t="str">
        <x:v>A spokesman said that further investigations will be conducted.</x:v>
      </x:c>
      <x:c r="D48" s="16" t="str">
        <x:v>[1] King Charles 'doing well' after prostate treatment - BBC News
There was a third royal health story this week, when it was revealed that Sarah Ferguson, the Duchess of York, had been diagnosed with malignant melanoma, a form of skin cancer. It had been discovered during treatment for her breast cancer, which had been diagnosed last summer. "Naturally another cancer diagnosis has been a shock, but I'm in good spirits and grateful for the many messages of love and support," said the duchess, who was formerly married to Prince Andrew. A spokesman for the duchess said she will have further investigations to ensure the melanoma has been caught in the early stages.
The King and the Princess of Wales are being treated in the London Clinic When she leaves the hospital it is expected that she will spend several months recuperating at home in Windsor. It means the princess will not be taking part in any official duties until after Easter. There was a third royal health story this week, when it was revealed that Sarah Ferguson, the Duchess of York, had been diagnosed with malignant melanoma, a form of skin cancer.
[IMAGE 1: "The King is recovering after having treatment on an enlarged prostate at a London hospital."]
[2] 'What my terminal cancer diagnosis taught me about life' - BBC News
I was naive, very naive." Megan has ocular melanoma, a type of eye cancer, that has spread to her liver Eighteen months ago Megan was given the devastating news that the cancer had spread to her liver and she had an estimated two years to live. "I think it is difficult for people because I don't look unwell," she said.
Megan, here with her partner Dimitar Kashchiev, says it can be difficult for people to understand her illness because she doesn't look unwell Megan and her partner Dimitar Kashchiev met in 2018. Less than a year into their relationship Megan was diagnosed with first stage ocular melanoma before being told it was terminal about 12 months later. "It almost felt like a punch in the gut because we were in a position where things were stabilising and we were considering and planning for the future," said Dimitar.
[IMAGE 2: "Megan McClay, 30, says nearing the end of her life has changed her perspective of what is important."]
[3] Cancer wait times should not keep getting worse, survivor says - BBC News
"For me, from when I first presented to A&amp;E to when I had surgery was less than three weeks so incredibly lucky, incredibly different to a lot of people's cases," she added. "While I had symptoms for years and years, once I got red-flagged I was progressed very quickly through the system and I was able to make a relatively full recovery." Six years after her diagnosis, Ms Scott takes medication daily to help manage the after-effects of her condition. She says some cancers are harder to spot than others - part of why they can be less survivable.
Within days, her liver was found to be functioning poorly and she was told to attend Londonderry's Altnagelvin Hospital. A large tumour was discovered and she was diagnosed with pancreatic cancer at the age of 27. "Two of my grandparents have passed due to pancreatic cancer - that was the only thing I knew about it," she told BBC News NI. "It was just one of those things where you get it, and as we all know if anyone's had pancreatic cancer, it's very serious and survival rates are low."
[IMAGE 3: "The latest cancer waiting time figures show continued delays in cancer waiting times."]
[4] Cancer survivors empowered by posing nude for calendar - BBC News
"All these ladies are survivors and they really knew what I was going through. I felt really lucky to have met them." Her feelings are echoed by Sylvia Armstrong, 54, who is a wig consultant and hairstylist from Prestatyn. She knew lots of women with cancer through her work, and then discovered she had breast cancer herself.
She knew lots of women with cancer through her work, and then discovered she had breast cancer herself. "My cancer was in Covid and I didn't have a lot of support," Sylvia said. "I thought (the calendar) would help me get over what I'd been through. "The best thing that's come from it apart from raising the money is the support we have from one another."
[IMAGE 4: "The women started off petrified but ended up like goddesses, the photographer says."]
[5] Faked tears and special audition codes - X Factor hopefuls and insiders speak out - BBC News
The audition - and Sarah's rejection - became a talked-about moment. Newspapers focused on her appearance and wrote scathing comments. Sarah says it all had a heavy impact on her mental health. She was even mocked in the streets: "I went into Asda, and there was a lady getting on her hands and knees and saying, 'Please, Simon, can I have some more?
"He judged me before I even started to sing," says Sarah. She was rejected by all three judges. Sarah Lowe says her appearance on The X Factor in 2005 left her feeling "ashamed" "I felt like my heart was going to explode, like, it broke me that much.
[IMAGE 5: "Hopefuls and staff lift the lid on what it was like backstage at the hugely successful show."]</x:v>
      </x:c>
      <x:c r="E48" s="16" t="str"/>
      <x:c r="F48" s="18" t="str">
        <x:v>y</x:v>
      </x:c>
      <x:c r="G48" s="18" t="str">
        <x:v>text_only</x:v>
      </x:c>
      <x:c r="H48" s="16" t="str">
        <x:v>A spokesman explicitly said the duchess would have further investigations.</x:v>
      </x:c>
    </x:row>
    <x:row r="49" ht="72" customHeight="1">
      <x:c r="A49" s="16" t="str">
        <x:v>797d782757e73aff</x:v>
      </x:c>
      <x:c r="B49" s="16" t="str">
        <x:v>What was Sarah Ferguson's reaction to her skin cancer diagnosis?</x:v>
      </x:c>
      <x:c r="C49" s="16" t="str">
        <x:v>Sarah Ferguson remains in good spirits.</x:v>
      </x:c>
      <x:c r="D49" s="16" t="str">
        <x:v>[1] King Charles 'doing well' after prostate treatment - BBC News
There was a third royal health story this week, when it was revealed that Sarah Ferguson, the Duchess of York, had been diagnosed with malignant melanoma, a form of skin cancer. It had been discovered during treatment for her breast cancer, which had been diagnosed last summer. "Naturally another cancer diagnosis has been a shock, but I'm in good spirits and grateful for the many messages of love and support," said the duchess, who was formerly married to Prince Andrew. A spokesman for the duchess said she will have further investigations to ensure the melanoma has been caught in the early stages.
The King and the Princess of Wales are being treated in the London Clinic When she leaves the hospital it is expected that she will spend several months recuperating at home in Windsor. It means the princess will not be taking part in any official duties until after Easter. There was a third royal health story this week, when it was revealed that Sarah Ferguson, the Duchess of York, had been diagnosed with malignant melanoma, a form of skin cancer.
[IMAGE 1: "The King is recovering after having treatment on an enlarged prostate at a London hospital."]
[2] 'What my terminal cancer diagnosis taught me about life' - BBC News
I was naive, very naive." Megan has ocular melanoma, a type of eye cancer, that has spread to her liver Eighteen months ago Megan was given the devastating news that the cancer had spread to her liver and she had an estimated two years to live. "I think it is difficult for people because I don't look unwell," she said.
Megan, here with her partner Dimitar Kashchiev, says it can be difficult for people to understand her illness because she doesn't look unwell Megan and her partner Dimitar Kashchiev met in 2018. Less than a year into their relationship Megan was diagnosed with first stage ocular melanoma before being told it was terminal about 12 months later. "It almost felt like a punch in the gut because we were in a position where things were stabilising and we were considering and planning for the future," said Dimitar.
[IMAGE 2: "Megan McClay, 30, says nearing the end of her life has changed her perspective of what is important."]
[3] Cancer wait times should not keep getting worse, survivor says - BBC News
"For me, from when I first presented to A&amp;E to when I had surgery was less than three weeks so incredibly lucky, incredibly different to a lot of people's cases," she added. "While I had symptoms for years and years, once I got red-flagged I was progressed very quickly through the system and I was able to make a relatively full recovery." Six years after her diagnosis, Ms Scott takes medication daily to help manage the after-effects of her condition. She says some cancers are harder to spot than others - part of why they can be less survivable.
Within days, her liver was found to be functioning poorly and she was told to attend Londonderry's Altnagelvin Hospital. A large tumour was discovered and she was diagnosed with pancreatic cancer at the age of 27. "Two of my grandparents have passed due to pancreatic cancer - that was the only thing I knew about it," she told BBC News NI. "It was just one of those things where you get it, and as we all know if anyone's had pancreatic cancer, it's very serious and survival rates are low."
[IMAGE 3: "The latest cancer waiting time figures show continued delays in cancer waiting times."]
[4] Cancer survivors empowered by posing nude for calendar - BBC News
"All these ladies are survivors and they really knew what I was going through. I felt really lucky to have met them." Her feelings are echoed by Sylvia Armstrong, 54, who is a wig consultant and hairstylist from Prestatyn. She knew lots of women with cancer through her work, and then discovered she had breast cancer herself.
She knew lots of women with cancer through her work, and then discovered she had breast cancer herself. "My cancer was in Covid and I didn't have a lot of support," Sylvia said. "I thought (the calendar) would help me get over what I'd been through. "The best thing that's come from it apart from raising the money is the support we have from one another."
[IMAGE 4: "The women started off petrified but ended up like goddesses, the photographer says."]
[5] Faked tears and special audition codes - X Factor hopefuls and insiders speak out - BBC News
The audition - and Sarah's rejection - became a talked-about moment. Newspapers focused on her appearance and wrote scathing comments. Sarah says it all had a heavy impact on her mental health. She was even mocked in the streets: "I went into Asda, and there was a lady getting on her hands and knees and saying, 'Please, Simon, can I have some more?
"He judged me before I even started to sing," says Sarah. She was rejected by all three judges. Sarah Lowe says her appearance on The X Factor in 2005 left her feeling "ashamed" "I felt like my heart was going to explode, like, it broke me that much.
[IMAGE 5: "Hopefuls and staff lift the lid on what it was like backstage at the hugely successful show."]</x:v>
      </x:c>
      <x:c r="E49" s="16" t="str"/>
      <x:c r="F49" s="18" t="str">
        <x:v>y</x:v>
      </x:c>
      <x:c r="G49" s="18" t="str">
        <x:v>text_only</x:v>
      </x:c>
      <x:c r="H49" s="16" t="str">
        <x:v>Sarah Ferguson is directly quoted saying she is in good spirits.</x:v>
      </x:c>
    </x:row>
    <x:row r="50" ht="72" customHeight="1">
      <x:c r="A50" s="16" t="str">
        <x:v>7fa85ecf8ec95696</x:v>
      </x:c>
      <x:c r="B50" s="16" t="str">
        <x:v>What significant event occurred 100 days after Hamas attacked Israel?</x:v>
      </x:c>
      <x:c r="C50" s="16" t="str">
        <x:v>The coverage reports that the deaths in Gaza were primarily among civilians.</x:v>
      </x:c>
      <x:c r="D50" s="16" t="str">
        <x:v>[1] Israel: Woman killed, 17 hurt in suspected Palestinian car-ramming attack - BBC News
It is unclear how the attackers were stopped and arrested. Police say both suspects came from the West Bank city of Hebron and that they had both entered Israel illegally. There have been few reports of attacks in Israel since the war began on 7 October and Monday's incident will further increase the sense of anxiety among Israelis. The country is still in a state of shock after waves of Hamas gunmen burst through the border from Gaza and attacked Israeli communities, killing at least 1,200 people - mainly civilians - and taking about 240 others hostage 101 days ago.
Israel says 9,000 of those killed in Gaza were Hamas combatants. It has vowed to destroy the group and free the remaining hostages. Correction 13th February: This article wrongly reported that about 1,300 people had been killed following the 7th October attack by Hamas. This was based on counting those who later died from their injuries in addition to the figure of more than 1,200.
[IMAGE 1: "Two Palestinians are arrested after several cars are used in what police say was a terrorist attack."]
[2] More than 25,000 now killed in Gaza since Israel offensive began, Hamas-run health ministry says - BBC News
The White House has said the US and Israel "clearly see things differently" when it comes to a two-state solution. Israel began its offensive following the 7 October attack in which Hamas fighters killed about 1,200 people in southern Israel and took more than 240 hostage. In its first public account of the October assault, published on Sunday, Hamas described it as a "necessary step" against the Israeli occupation of the Palestinian territories and a way to secure the release of Palestinian prisoners. Israel's air and ground operation is currently focusing on southern Gaza, where the military are convinced top Hamas commanders are holed up in, or beneath, the city of Khan Younis.
US intelligence agencies reportedly estimate that the Israeli military has killed 20-30% of Hamas fighters, which falls far short of Mr Netanyahu's stated aim of "completely destroying" the armed group. The classified report is also said to have found that Hamas still has enough munitions to continue striking Israel and Israeli forces for months, raising the spectre of a prolonged war in which Israel could get bogged down. The apparent slow progress, the fact no top Hamas commander has yet been captured or killed, and the collective trauma over the 130 or so Israeli hostages still missing, is prompting growing anti-government anger in Israel. Protests are continuing by relatives of those still held by Hamas, calling for Mr Netanyahu to prioritise their release over the potentially impossible aim of destroying Hamas.
[IMAGE 2: "The grim milestone comes as Israel presses its war in Gaza and rejects calls for a Palestinian state."]
[3] 'Deep concern' for patients and staff at Gaza's al-Aqsa hospital - BBC News
"The offensive in these areas results in the killing and injury of many people and having devastating consequences for tens of thousands of civilians, many of whom had already fled for safety from Gaza City and the north to central and southern Gaza," it warned. Israel says it is carrying out military operations in Gaza to "eradicate" Hamas and rescue hostages taken by the group. It says it tries to avoid harm to civilians and blames Hamas for embedding fighters among them. The war was triggered by an unprecedented cross-border attack by Hamas gunmen on southern Israel on 7 October, in which about 1,200 people were killed - most of them civilians - and about 240 others taken hostage.
The war was triggered by an unprecedented cross-border attack by Hamas gunmen on southern Israel on 7 October, in which about 1,200 people were killed - most of them civilians - and about 240 others taken hostage. More than 23,350 people have been killed in Gaza - mostly children and women - during the 13 weeks of fighting since then, according to the Hamas-run health ministry. Correction 13th February: This article wrongly reported that about 1,300 people had been killed following the 7th October attack by Hamas. This was based on counting those who later died from their injuries in addition to the figure of more than 1,200.
[IMAGE 3: "Three UK doctors who worked at al-Aqsa hospital warn of a "disaster" as fighting nearby intensifies."]
[4] Israel says war in Gaza expected to continue throughout 2024 - BBC News
The figures included 156 people killed and 246 injured in the last 24 hours, the ministry added. The latest war was triggered by an unprecedented cross-border attack by Hamas gunmen on southern Israel on 7 October, in which 1,200 people were killed - most of them civilians - and about 240 others taken hostage. Israel continued its bombardment of Gaza up until the end of what has been a dark year in the region. The IDF said it killed a senior Hamas commander involved in the 7 October attack, Adil Mismah, in an overnight strike on the town of Deir al-Balah.
Hamas's military wing, the Ezzedine al-Qassam Brigades, said in a video posted on social media that it carried out both attacks. They said M90 rockets were used in "response to the massacres of civilians" perpetrated by Israel.
[IMAGE 4: "In a new year message, Israel's military says it expects fighting in Gaza for the rest of the year."]
[5] Iran warns air strike on Syria will not go unanswered - BBC News
The Middle East has been on heightened alert since 7 October, when Hamas launched an attack on southern Israel, killing about 1,200 people, mainly civilians, and taking 240 hostages back to Gaza. More than 132 hostages are thought to still be held in the territory. More than 24,900 people have been killed in Gaza since Israel launched its military response, according to the Hamas-run health ministry. Israel says its ground and air operation in Gaza is aimed at destroying Hamas.
"The sound was similar to a missile explosion, and minutes later I heard the sound of ambulances," he added. Videos, which the BBC has not verified, showed a large cloud of smoke and buildings destroyed. Last month a suspected Israeli air strike just outside Damascus killed a senior IRGC commander. The Middle East has been on heightened alert since 7 October, when Hamas launched an attack on southern Israel, killing about 1,200 people, mainly civilians, and taking 240 hostages back to Gaza.
[IMAGE 5: "Iran's president blames Israel for the strike in the Syrian capital which killed five senior advisers."]</x:v>
      </x:c>
      <x:c r="E50" s="16" t="str"/>
      <x:c r="F50" s="18" t="str">
        <x:v>y</x:v>
      </x:c>
      <x:c r="G50" s="18" t="str">
        <x:v>text_only</x:v>
      </x:c>
      <x:c r="H50" s="16" t="str">
        <x:v>Evidence says more than 23,350 people killed in Gaza were mostly women and children, supporting a civilian majority.</x:v>
      </x:c>
    </x:row>
    <x:row r="51" ht="72" customHeight="1">
      <x:c r="A51" s="16" t="str">
        <x:v>06533edeeffad6fc</x:v>
      </x:c>
      <x:c r="B51" s="16" t="str">
        <x:v>What plans did an Israeli minister outline for Gaza after the war?</x:v>
      </x:c>
      <x:c r="C51" s="16" t="str">
        <x:v>The population of Gaza has been significantly displaced.</x:v>
      </x:c>
      <x:c r="D51" s="16" t="str">
        <x:v>[1] Israel-Gaza war: The huge challenges facing Israel's 'day after' plan - BBC News
The plan proposes that Israel, Egypt and the US would work to secure the porous border between Egypt and Gaza But writing for the British think tank Chatham House, Dr Sanam Vakil and Dr Neil Quilliam urge Arab governments not to wait. "Without serious regional planning and investment in Gaza," they write, "a potential outcome that could materialize is lawlessness and a Palestinian political vacuum alongside the grim reality of famine, disease and death." And what of that "Palestinian political vacuum"?
It's when the plan touches on what it calls "the four corners of the civilian square" that things get a little blurry. Israel's rigid control over the entry of goods into the Gaza Strip - a fact of life for the past two decades - would continue. Prime Minister Benjamin Netanyahu has not publicly commented on the plan Israel, Egypt and the United States would work together on ways to secure the porous border between Egypt and Gaza - something that would involve solving the problem of tunnels once and for all.
[2] Antony Blinken: On the US mission to stop Gaza igniting wider war - BBC News
"I'll have an opportunity to share with Israeli leaders everything I've heard thus far on this trip," he said on Monday. "I'm convinced that there is a future path that can actually bring lasting peace and security for Israel." Behind all this is an American gamble - that resolving, or at least winding down, the Gaza War will cool tensions throughout the region. It is a bet that the various mini-crises - in the Red Sea, in Lebanon, and in Iraq and Syria - have not taken on a momentum of their own.
When viewed as a whole, it suggests a Middle East teetering on the brink of wider war. In Qatar on Sunday, Mr Blinken said the US has a plan to address the growing instability - and it hinges on winding down the Israeli military campaign in Gaza and working with Arab nations and the Israelis to establish a "durable" peace for the Palestinians. "The United States has a vision for how to get there, a regional approach that delivers lasting security for Israel and a state for the Palestinian people," he said. "And my takeaway from the discussions so far ...
[3] ICJ says Israel must prevent genocide in Gaza - BBC News
A spokesman for Hamas, the Palestinian group whose unprecedented attack on Israel on 7 October triggered the war, called the outcome "important", saying it contributed to "isolating Israel", Reuters news agency reported. The ICJ ordered Israel to take a series of measures against potentially genocidal acts against Palestinians in Gaza. These include measures not only on the battlefield but also against public incitement to genocide. It also ordered Israel to take "immediate and effective measures" to enable the provision of aid to people in Gaza.
Israel is not expected to commit itself to the orders. More than 26,000 Palestinians - mostly women and children - have been killed in Gaza by Israel's bombardment since 7 October, Gaza's Hamas-run health ministry says. Israel launched its offensive after waves of Hamas gunmen burst through the border early that day, killing about 1,200 people - mainly civilians - and taking about 250 others back to Gaza as hostages. Correction 13th February: This article wrongly reported that about 1,300 people had been killed following the 7th October attack by Hamas.
[4] Israel reined in by ICJ rulings on Gaza - but will it obey? - BBC News
By large majorities the court's 17 judges ruled that Israel should do everything in its power to avoid killing Palestinians, causing them serious bodily or mental harm, creating intolerable living conditions in Gaza, or deliberately preventing Palestinian births. It also said Israel should do more to "prevent and punish" public incitement to genocide, citing examples by Israel's president and defence minister. And there was a call for "immediate and effective measures" to address the humanitarian catastrophe in Gaza. Not a call for a ceasefire, then, but a series of demands that, if implemented, would drastically change the nature of Israel's military campaign in Gaza.
Not a call for a ceasefire, then, but a series of demands that, if implemented, would drastically change the nature of Israel's military campaign in Gaza. Israel vehemently rejects the allegation of genocide, arguing that it is Hamas that's responsible for putting Palestinian civilians in harm's way. It says Hamas operates inside and underneath Gaza's densely populated towns and refugee camps, making it virtually impossible for Israel to avoid killing civilians. And it says that it has gone to great lengths to warn civilians to avoid danger.
[5] Tough choices for Israel in US's Middle East vision - BBC News
The US secretary has acknowledged that adopting the American proposal would require some hard choices on the part of the Israelis, but he insisted that the promise of a durable regional peace was worth the effort. "The other path," Blinken said, "is to continue to see the terrorism, the nihilism, the destruction by Hamas, by the Houthis, by Hezbollah, all backed by Iran." A senior US State Department official, speaking on background, was even more blunt - Israel ultimately doesn't have a choice. At some point, the official told me, Prime Minister Benjamin Netanyahu and the Israelis would have to face the reality that if they don't make concessions to their Arab neighbours, they will be left dealing with the chaos and devastation they created in Gaza on their own.
The plan was light on details, however, and the assessment is almost certain to be bleak. Blinken acknowledged that the effort won't achieve results "overnight". Much of Gaza City has been reduced to rubble, unexploded ordnance is a concern, and public services are limited at best. At least 1.9 million people in Gaza, or 85% of the population, have been displaced according to the UN</x:v>
      </x:c>
      <x:c r="E51" s="16" t="str"/>
      <x:c r="F51" s="18" t="str">
        <x:v>y</x:v>
      </x:c>
      <x:c r="G51" s="18" t="str">
        <x:v>text_only</x:v>
      </x:c>
      <x:c r="H51" s="16" t="str">
        <x:v>UN evidence states that 1.9 million people, or 85% of Gaza's population, had been displaced.</x:v>
      </x:c>
    </x:row>
  </x:sheetData>
  <x:conditionalFormatting sqref="F2:F51">
    <x:cfRule type="containsText" dxfId="0" priority="1" operator="containsText" text="y"/>
    <x:cfRule type="containsText" dxfId="1" priority="2" operator="containsText" text="n"/>
  </x:conditionalFormatting>
  <x:conditionalFormatting sqref="G2:G51">
    <x:cfRule type="containsText" dxfId="2" priority="3" operator="containsText" text="unsupported"/>
  </x:conditionalFormatting>
  <x:dataValidations count="2">
    <x:dataValidation type="list" sqref="F2:F51">
      <x:formula1>"y,n"</x:formula1>
    </x:dataValidation>
    <x:dataValidation type="list" sqref="G2:G51">
      <x:formula1>"text_only,image_only,both,unsupported"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86" hidden="0" customWidth="1"/>
  </x:cols>
  <x:sheetData>
    <x:row r="1" ht="38" customHeight="1">
      <x:c r="A1" s="24" t="str">
        <x:v>Independent Evidence-Label Audit</x:v>
      </x:c>
      <x:c r="B1" s="24"/>
    </x:row>
    <x:row r="3" ht="42" customHeight="1">
      <x:c r="A3" s="48" t="str">
        <x:v>Field</x:v>
      </x:c>
      <x:c r="B3" s="49" t="str">
        <x:v>Definition</x:v>
      </x:c>
    </x:row>
    <x:row r="4" ht="42" customHeight="1">
      <x:c r="A4" s="50" t="str">
        <x:v>Label source</x:v>
      </x:c>
      <x:c r="B4" s="51" t="str">
        <x:v>Independent Codex evidence audit requested by the user; no project model or paid API call was used.</x:v>
      </x:c>
    </x:row>
    <x:row r="5" ht="42" customHeight="1">
      <x:c r="A5" s="50" t="str">
        <x:v>Supported = y</x:v>
      </x:c>
      <x:c r="B5" s="51" t="str">
        <x:v>Every material detail is directly stated or unambiguously implied by the supplied evidence.</x:v>
      </x:c>
    </x:row>
    <x:row r="6" ht="42" customHeight="1">
      <x:c r="A6" s="50" t="str">
        <x:v>Supported = n</x:v>
      </x:c>
      <x:c r="B6" s="51" t="str">
        <x:v>At least one material actor, number, causal link, attribution, or scope detail lacks support.</x:v>
      </x:c>
    </x:row>
    <x:row r="7" ht="42" customHeight="1">
      <x:c r="A7" s="50" t="str">
        <x:v>text_only</x:v>
      </x:c>
      <x:c r="B7" s="51" t="str">
        <x:v>The text or supplied caption independently supports the claim.</x:v>
      </x:c>
    </x:row>
    <x:row r="8" ht="42" customHeight="1">
      <x:c r="A8" s="50" t="str">
        <x:v>image_only</x:v>
      </x:c>
      <x:c r="B8" s="51" t="str">
        <x:v>The supplied pixels independently support the claim.</x:v>
      </x:c>
    </x:row>
    <x:row r="9" ht="42" customHeight="1">
      <x:c r="A9" s="50" t="str">
        <x:v>both</x:v>
      </x:c>
      <x:c r="B9" s="51" t="str">
        <x:v>Text and supplied pixels each independently support the claim.</x:v>
      </x:c>
    </x:row>
    <x:row r="10" ht="42" customHeight="1">
      <x:c r="A10" s="52" t="str">
        <x:v>unsupported</x:v>
      </x:c>
      <x:c r="B10" s="53" t="str">
        <x:v>The claim is not fully supported by either admissible modality.</x:v>
      </x:c>
    </x:row>
    <x:row r="11">
      <x:c r="A11" s="54"/>
      <x:c r="B11" s="55"/>
    </x:row>
    <x:row r="12" ht="26" customHeight="1">
      <x:c r="A12" s="48" t="str">
        <x:v>Summary</x:v>
      </x:c>
      <x:c r="B12" s="49" t="str">
        <x:v>Value</x:v>
      </x:c>
    </x:row>
    <x:row r="13" ht="26" customHeight="1">
      <x:c r="A13" s="50" t="str">
        <x:v>Supported</x:v>
      </x:c>
      <x:c r="B13" s="51" t="n">
        <x:f>COUNTIF(Validation!F2:F51,"y")</x:f>
        <x:v>39</x:v>
      </x:c>
    </x:row>
    <x:row r="14" ht="26" customHeight="1">
      <x:c r="A14" s="50" t="str">
        <x:v>Unsupported</x:v>
      </x:c>
      <x:c r="B14" s="51" t="n">
        <x:f>COUNTIF(Validation!F2:F51,"n")</x:f>
        <x:v>11</x:v>
      </x:c>
    </x:row>
    <x:row r="15" ht="26" customHeight="1">
      <x:c r="A15" s="52" t="str">
        <x:v>Total</x:v>
      </x:c>
      <x:c r="B15" s="53" t="n">
        <x:f>COUNTA(Validation!F2:F51)</x:f>
        <x:v>50</x:v>
      </x:c>
    </x:row>
  </x:sheetData>
  <x:pageMargins left="0.7" right="0.7" top="0.75" bottom="0.75" header="0.3" footer="0.3"/>
</x:worksheet>
</file>